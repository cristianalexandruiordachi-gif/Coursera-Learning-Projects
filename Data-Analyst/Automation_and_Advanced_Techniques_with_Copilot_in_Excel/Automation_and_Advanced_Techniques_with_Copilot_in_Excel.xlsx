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rist\Documents\Codex\2026-09-22\referenced-chatgpt-conversation-this-is-an-2\outputs\"/>
    </mc:Choice>
  </mc:AlternateContent>
  <xr:revisionPtr revIDLastSave="0" documentId="8_{897727F2-036A-4B99-80C3-81D71480FB03}" xr6:coauthVersionLast="47" xr6:coauthVersionMax="47" xr10:uidLastSave="{00000000-0000-0000-0000-000000000000}"/>
  <bookViews>
    <workbookView xWindow="-110" yWindow="-110" windowWidth="19420" windowHeight="10300" xr2:uid="{00000000-000D-0000-FFFF-FFFF00000000}"/>
  </bookViews>
  <sheets>
    <sheet name="Event Dashboard" sheetId="3" r:id="rId1"/>
    <sheet name="Assumptions" sheetId="2" r:id="rId2"/>
    <sheet name="Projections" sheetId="6" r:id="rId3"/>
    <sheet name="Monthly Summary" sheetId="5" r:id="rId4"/>
    <sheet name="Attendee Management" sheetId="8" r:id="rId5"/>
    <sheet name="Database" sheetId="1" r:id="rId6"/>
    <sheet name="Original Data" sheetId="7" r:id="rId7"/>
    <sheet name="ReadMe" sheetId="10" r:id="rId8"/>
    <sheet name="Dashboard Data" sheetId="9" state="hidden" r:id="rId9"/>
    <sheet name="Pivot Support" sheetId="11" state="hidden" r:id="rId10"/>
  </sheets>
  <definedNames>
    <definedName name="AttendanceBase">#N/A</definedName>
    <definedName name="DateBase">#N/A</definedName>
    <definedName name="_xlnm.Print_Area" localSheetId="5">Database!$A$1:$J$101</definedName>
    <definedName name="_xlnm.Print_Area" localSheetId="0">'Event Dashboard'!$A$1:$O$56</definedName>
    <definedName name="_xlnm.Print_Area" localSheetId="3">'Monthly Summary'!$A$1:$F$32</definedName>
    <definedName name="_xlnm.Print_Area" localSheetId="6">'Original Data'!$A$1:$H$101</definedName>
    <definedName name="_xlnm.Print_Area" localSheetId="2">Projections!$A$1:$J$39</definedName>
    <definedName name="_xlnm.Print_Area" localSheetId="7">ReadMe!$A$1:$J$31</definedName>
    <definedName name="_xlnm.Print_Titles" localSheetId="5">Database!$1:$1</definedName>
    <definedName name="_xlnm.Print_Titles" localSheetId="6">'Original Data'!$1:$1</definedName>
    <definedName name="SessionBas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H41" i="9"/>
  <c r="A41" i="9"/>
  <c r="H40" i="9"/>
  <c r="A40" i="9"/>
  <c r="H39" i="9"/>
  <c r="A39" i="9"/>
  <c r="H38" i="9"/>
  <c r="A38" i="9"/>
  <c r="H37" i="9"/>
  <c r="A37" i="9"/>
  <c r="H36" i="9"/>
  <c r="A36" i="9"/>
  <c r="H35" i="9"/>
  <c r="A35" i="9"/>
  <c r="H34" i="9"/>
  <c r="A34" i="9"/>
  <c r="H33" i="9"/>
  <c r="A33" i="9"/>
  <c r="H32" i="9"/>
  <c r="A32" i="9"/>
  <c r="H31" i="9"/>
  <c r="A31" i="9"/>
  <c r="H30" i="9"/>
  <c r="A30" i="9"/>
  <c r="H29" i="9"/>
  <c r="A29" i="9"/>
  <c r="H28" i="9"/>
  <c r="A28" i="9"/>
  <c r="H27" i="9"/>
  <c r="A27" i="9"/>
  <c r="H26" i="9"/>
  <c r="A26" i="9"/>
  <c r="H25" i="9"/>
  <c r="A25" i="9"/>
  <c r="H24" i="9"/>
  <c r="A24" i="9"/>
  <c r="H23" i="9"/>
  <c r="A23" i="9"/>
  <c r="H22" i="9"/>
  <c r="A22" i="9"/>
  <c r="H21" i="9"/>
  <c r="A21" i="9"/>
  <c r="H20" i="9"/>
  <c r="A20" i="9"/>
  <c r="H19" i="9"/>
  <c r="A19" i="9"/>
  <c r="H18" i="9"/>
  <c r="A18" i="9"/>
  <c r="H17" i="9"/>
  <c r="A17" i="9"/>
  <c r="D28" i="6"/>
  <c r="D34" i="6" s="1"/>
  <c r="B28" i="6"/>
  <c r="D26" i="6"/>
  <c r="B26" i="6"/>
  <c r="D25" i="6"/>
  <c r="B25" i="6"/>
  <c r="A17" i="6"/>
  <c r="A16" i="6"/>
  <c r="A15" i="6"/>
  <c r="A14" i="6"/>
  <c r="A13" i="6"/>
  <c r="A12" i="6"/>
  <c r="A11" i="6"/>
  <c r="A10" i="6"/>
  <c r="A9" i="6"/>
  <c r="A8" i="6"/>
  <c r="A7" i="6"/>
  <c r="A6" i="6"/>
  <c r="F30" i="5"/>
  <c r="D30" i="5"/>
  <c r="C30" i="5"/>
  <c r="B30" i="5"/>
  <c r="F29" i="5"/>
  <c r="C29" i="5"/>
  <c r="B29" i="5"/>
  <c r="D29" i="5" s="1"/>
  <c r="F28" i="5"/>
  <c r="D28" i="5"/>
  <c r="C28" i="5"/>
  <c r="B28" i="5"/>
  <c r="F27" i="5"/>
  <c r="C27" i="5"/>
  <c r="B27" i="5"/>
  <c r="D27" i="5" s="1"/>
  <c r="F26" i="5"/>
  <c r="D26" i="5"/>
  <c r="C26" i="5"/>
  <c r="B26" i="5"/>
  <c r="F25" i="5"/>
  <c r="C25" i="5"/>
  <c r="B25" i="5"/>
  <c r="D25" i="5" s="1"/>
  <c r="F24" i="5"/>
  <c r="D24" i="5"/>
  <c r="C24" i="5"/>
  <c r="B24" i="5"/>
  <c r="F23" i="5"/>
  <c r="C23" i="5"/>
  <c r="B23" i="5"/>
  <c r="D23" i="5" s="1"/>
  <c r="F22" i="5"/>
  <c r="D22" i="5"/>
  <c r="C22" i="5"/>
  <c r="B22" i="5"/>
  <c r="F21" i="5"/>
  <c r="C21" i="5"/>
  <c r="B21" i="5"/>
  <c r="D21" i="5" s="1"/>
  <c r="F20" i="5"/>
  <c r="D20" i="5"/>
  <c r="C20" i="5"/>
  <c r="B20" i="5"/>
  <c r="F19" i="5"/>
  <c r="C19" i="5"/>
  <c r="B19" i="5"/>
  <c r="D19" i="5" s="1"/>
  <c r="F18" i="5"/>
  <c r="D18" i="5"/>
  <c r="C18" i="5"/>
  <c r="B18" i="5"/>
  <c r="F17" i="5"/>
  <c r="C17" i="5"/>
  <c r="B17" i="5"/>
  <c r="D17" i="5" s="1"/>
  <c r="F16" i="5"/>
  <c r="C16" i="5"/>
  <c r="B16" i="5"/>
  <c r="F15" i="5"/>
  <c r="C15" i="5"/>
  <c r="B15" i="5"/>
  <c r="D15" i="5" s="1"/>
  <c r="F14" i="5"/>
  <c r="C14" i="5"/>
  <c r="B14" i="5"/>
  <c r="F13" i="5"/>
  <c r="C13" i="5"/>
  <c r="B13" i="5"/>
  <c r="D13" i="5" s="1"/>
  <c r="F12" i="5"/>
  <c r="C12" i="5"/>
  <c r="B12" i="5"/>
  <c r="F11" i="5"/>
  <c r="C11" i="5"/>
  <c r="B11" i="5"/>
  <c r="D11" i="5" s="1"/>
  <c r="F10" i="5"/>
  <c r="C10" i="5"/>
  <c r="B10" i="5"/>
  <c r="F9" i="5"/>
  <c r="C9" i="5"/>
  <c r="B9" i="5"/>
  <c r="D9" i="5" s="1"/>
  <c r="F8" i="5"/>
  <c r="C8" i="5"/>
  <c r="B8" i="5"/>
  <c r="F7" i="5"/>
  <c r="C7" i="5"/>
  <c r="B7" i="5"/>
  <c r="D7" i="5" s="1"/>
  <c r="F6" i="5"/>
  <c r="C6" i="5"/>
  <c r="C32" i="5" s="1"/>
  <c r="B6" i="5"/>
  <c r="L14" i="3"/>
  <c r="G14" i="3"/>
  <c r="C14" i="3"/>
  <c r="B17" i="6"/>
  <c r="B16" i="6"/>
  <c r="B15" i="6"/>
  <c r="B14" i="6"/>
  <c r="B13" i="6"/>
  <c r="B12" i="6"/>
  <c r="B11" i="6"/>
  <c r="B10" i="6"/>
  <c r="B9" i="6"/>
  <c r="B8" i="6"/>
  <c r="B7" i="6"/>
  <c r="B6" i="6"/>
  <c r="B34" i="9"/>
  <c r="B26" i="9"/>
  <c r="B18" i="9"/>
  <c r="C6" i="9"/>
  <c r="B13" i="9"/>
  <c r="B30" i="9"/>
  <c r="B7" i="9"/>
  <c r="B41" i="9"/>
  <c r="B33" i="9"/>
  <c r="B25" i="9"/>
  <c r="B17" i="9"/>
  <c r="B6" i="9"/>
  <c r="B23" i="9"/>
  <c r="C8" i="9"/>
  <c r="B21" i="9"/>
  <c r="B40" i="9"/>
  <c r="B32" i="9"/>
  <c r="B24" i="9"/>
  <c r="B35" i="9"/>
  <c r="B39" i="9"/>
  <c r="B31" i="9"/>
  <c r="B12" i="9"/>
  <c r="B38" i="9"/>
  <c r="B29" i="9"/>
  <c r="B27" i="9"/>
  <c r="B22" i="9"/>
  <c r="B8" i="9"/>
  <c r="B37" i="9"/>
  <c r="B19" i="9"/>
  <c r="B36" i="9"/>
  <c r="B28" i="9"/>
  <c r="B20" i="9"/>
  <c r="C7" i="9"/>
  <c r="I6" i="9"/>
  <c r="J7" i="9"/>
  <c r="I31" i="9"/>
  <c r="I38" i="9"/>
  <c r="I12" i="9"/>
  <c r="I30" i="9"/>
  <c r="I35" i="9"/>
  <c r="I34" i="9"/>
  <c r="I23" i="9"/>
  <c r="I40" i="9"/>
  <c r="I32" i="9"/>
  <c r="I22" i="9"/>
  <c r="I37" i="9"/>
  <c r="I27" i="9"/>
  <c r="I26" i="9"/>
  <c r="I24" i="9"/>
  <c r="I8" i="9"/>
  <c r="J8" i="9"/>
  <c r="I19" i="9"/>
  <c r="I18" i="9"/>
  <c r="I13" i="9"/>
  <c r="I7" i="9"/>
  <c r="I41" i="9"/>
  <c r="I33" i="9"/>
  <c r="J6" i="9"/>
  <c r="I25" i="9"/>
  <c r="I29" i="9"/>
  <c r="I21" i="9"/>
  <c r="I36" i="9"/>
  <c r="I17" i="9"/>
  <c r="I39" i="9"/>
  <c r="I20" i="9"/>
  <c r="I28" i="9"/>
  <c r="A7" i="3" l="1"/>
  <c r="E7" i="3"/>
  <c r="C17" i="6"/>
  <c r="C16" i="6"/>
  <c r="C15" i="6"/>
  <c r="C14" i="6"/>
  <c r="C13" i="6"/>
  <c r="C12" i="6"/>
  <c r="C11" i="6"/>
  <c r="C10" i="6"/>
  <c r="C9" i="6"/>
  <c r="C8" i="6"/>
  <c r="C7" i="6"/>
  <c r="C6" i="6"/>
  <c r="B19" i="6"/>
  <c r="D29" i="6"/>
  <c r="D38" i="6"/>
  <c r="D6" i="5"/>
  <c r="D8" i="5"/>
  <c r="D10" i="5"/>
  <c r="D12" i="5"/>
  <c r="D14" i="5"/>
  <c r="D16" i="5"/>
  <c r="B32" i="5"/>
  <c r="D32" i="5" s="1"/>
  <c r="I7" i="3" l="1"/>
  <c r="C19" i="6"/>
  <c r="D23" i="6" s="1"/>
  <c r="D22" i="6"/>
  <c r="B22" i="6"/>
  <c r="D39" i="6"/>
  <c r="B23" i="6" l="1"/>
  <c r="A11" i="3"/>
  <c r="B33" i="6"/>
  <c r="B34" i="6"/>
  <c r="C16" i="3" s="1"/>
  <c r="D33" i="6"/>
  <c r="B37" i="6"/>
  <c r="B24" i="6"/>
  <c r="L16" i="3"/>
  <c r="D6" i="6"/>
  <c r="D12" i="6"/>
  <c r="B38" i="6"/>
  <c r="D7" i="6"/>
  <c r="D11" i="6"/>
  <c r="D9" i="6"/>
  <c r="D15" i="6"/>
  <c r="D14" i="6"/>
  <c r="D13" i="6"/>
  <c r="D17" i="6"/>
  <c r="D10" i="6"/>
  <c r="D16" i="6"/>
  <c r="D8" i="6"/>
  <c r="D37" i="6"/>
  <c r="D24" i="6"/>
  <c r="D19" i="6" l="1"/>
  <c r="D27" i="6"/>
  <c r="E11" i="3"/>
  <c r="B27" i="6"/>
  <c r="B39" i="6"/>
  <c r="G16" i="3"/>
  <c r="I11" i="3" l="1"/>
  <c r="B29" i="6"/>
</calcChain>
</file>

<file path=xl/sharedStrings.xml><?xml version="1.0" encoding="utf-8"?>
<sst xmlns="http://schemas.openxmlformats.org/spreadsheetml/2006/main" count="1521" uniqueCount="531">
  <si>
    <t>Target profit</t>
  </si>
  <si>
    <t>Marketing costs</t>
  </si>
  <si>
    <t>Operational costs</t>
  </si>
  <si>
    <t>Attendee ID</t>
  </si>
  <si>
    <t>Name</t>
  </si>
  <si>
    <t>Email</t>
  </si>
  <si>
    <t>Phone Number</t>
  </si>
  <si>
    <t>Attendance Type</t>
  </si>
  <si>
    <t>Session Preference</t>
  </si>
  <si>
    <t>Ticket Price (€)</t>
  </si>
  <si>
    <t>Registration Date</t>
  </si>
  <si>
    <t>Dietary Preference</t>
  </si>
  <si>
    <t>Registration Month</t>
  </si>
  <si>
    <t>A001</t>
  </si>
  <si>
    <t>Participant 1</t>
  </si>
  <si>
    <t>Participant1@example.com</t>
  </si>
  <si>
    <t>555-0001</t>
  </si>
  <si>
    <t>Online</t>
  </si>
  <si>
    <t>Data Analytics</t>
  </si>
  <si>
    <t>Not provided</t>
  </si>
  <si>
    <t>A002</t>
  </si>
  <si>
    <t>Participant 2</t>
  </si>
  <si>
    <t>Participant2@example.com</t>
  </si>
  <si>
    <t>555-0002</t>
  </si>
  <si>
    <t>In-Person</t>
  </si>
  <si>
    <t>A003</t>
  </si>
  <si>
    <t>Participant 3</t>
  </si>
  <si>
    <t>Participant3@example.com</t>
  </si>
  <si>
    <t>555-0003</t>
  </si>
  <si>
    <t>Artificial Intelligence</t>
  </si>
  <si>
    <t>A004</t>
  </si>
  <si>
    <t>Participant 4</t>
  </si>
  <si>
    <t>Participant4@example.com</t>
  </si>
  <si>
    <t>555-0004</t>
  </si>
  <si>
    <t>Cybersecurity</t>
  </si>
  <si>
    <t>A005</t>
  </si>
  <si>
    <t>Participant 5</t>
  </si>
  <si>
    <t>Participant5@example.com</t>
  </si>
  <si>
    <t>555-0005</t>
  </si>
  <si>
    <t>A006</t>
  </si>
  <si>
    <t>Participant 6</t>
  </si>
  <si>
    <t>Participant6@example.com</t>
  </si>
  <si>
    <t>555-0006</t>
  </si>
  <si>
    <t>A007</t>
  </si>
  <si>
    <t>Participant 7</t>
  </si>
  <si>
    <t>Participant7@example.com</t>
  </si>
  <si>
    <t>555-0007</t>
  </si>
  <si>
    <t>A008</t>
  </si>
  <si>
    <t>Participant 8</t>
  </si>
  <si>
    <t>Participant8@example.com</t>
  </si>
  <si>
    <t>555-0008</t>
  </si>
  <si>
    <t>A009</t>
  </si>
  <si>
    <t>Participant 9</t>
  </si>
  <si>
    <t>Participant9@example.com</t>
  </si>
  <si>
    <t>555-0009</t>
  </si>
  <si>
    <t>A010</t>
  </si>
  <si>
    <t>Participant 10</t>
  </si>
  <si>
    <t>Participant10@example.com</t>
  </si>
  <si>
    <t>555-0010</t>
  </si>
  <si>
    <t>A011</t>
  </si>
  <si>
    <t>Participant 11</t>
  </si>
  <si>
    <t>Participant11@example.com</t>
  </si>
  <si>
    <t>555-0011</t>
  </si>
  <si>
    <t>A012</t>
  </si>
  <si>
    <t>Participant 12</t>
  </si>
  <si>
    <t>Participant12@example.com</t>
  </si>
  <si>
    <t>555-0012</t>
  </si>
  <si>
    <t>A013</t>
  </si>
  <si>
    <t>Participant 13</t>
  </si>
  <si>
    <t>Participant13@example.com</t>
  </si>
  <si>
    <t>555-0013</t>
  </si>
  <si>
    <t>A014</t>
  </si>
  <si>
    <t>Participant 14</t>
  </si>
  <si>
    <t>Participant14@example.com</t>
  </si>
  <si>
    <t>555-0014</t>
  </si>
  <si>
    <t>A015</t>
  </si>
  <si>
    <t>Participant 15</t>
  </si>
  <si>
    <t>Participant15@example.com</t>
  </si>
  <si>
    <t>555-0015</t>
  </si>
  <si>
    <t>A016</t>
  </si>
  <si>
    <t>Participant 16</t>
  </si>
  <si>
    <t>Participant16@example.com</t>
  </si>
  <si>
    <t>555-0016</t>
  </si>
  <si>
    <t>A017</t>
  </si>
  <si>
    <t>Participant 17</t>
  </si>
  <si>
    <t>Participant17@example.com</t>
  </si>
  <si>
    <t>555-0017</t>
  </si>
  <si>
    <t>A018</t>
  </si>
  <si>
    <t>Participant 18</t>
  </si>
  <si>
    <t>Participant18@example.com</t>
  </si>
  <si>
    <t>555-0018</t>
  </si>
  <si>
    <t>A019</t>
  </si>
  <si>
    <t>Participant 19</t>
  </si>
  <si>
    <t>Participant19@example.com</t>
  </si>
  <si>
    <t>555-0019</t>
  </si>
  <si>
    <t>A020</t>
  </si>
  <si>
    <t>Participant 20</t>
  </si>
  <si>
    <t>Participant20@example.com</t>
  </si>
  <si>
    <t>555-0020</t>
  </si>
  <si>
    <t>A021</t>
  </si>
  <si>
    <t>Participant 21</t>
  </si>
  <si>
    <t>Participant21@example.com</t>
  </si>
  <si>
    <t>555-0021</t>
  </si>
  <si>
    <t>A022</t>
  </si>
  <si>
    <t>Participant 22</t>
  </si>
  <si>
    <t>Participant22@example.com</t>
  </si>
  <si>
    <t>555-0022</t>
  </si>
  <si>
    <t>A023</t>
  </si>
  <si>
    <t>Participant 23</t>
  </si>
  <si>
    <t>Participant23@example.com</t>
  </si>
  <si>
    <t>555-0023</t>
  </si>
  <si>
    <t>A024</t>
  </si>
  <si>
    <t>Participant 24</t>
  </si>
  <si>
    <t>Participant24@example.com</t>
  </si>
  <si>
    <t>555-0024</t>
  </si>
  <si>
    <t>A025</t>
  </si>
  <si>
    <t>Participant 25</t>
  </si>
  <si>
    <t>Participant25@example.com</t>
  </si>
  <si>
    <t>555-0025</t>
  </si>
  <si>
    <t>A026</t>
  </si>
  <si>
    <t>Participant 26</t>
  </si>
  <si>
    <t>Participant26@example.com</t>
  </si>
  <si>
    <t>555-0026</t>
  </si>
  <si>
    <t>A027</t>
  </si>
  <si>
    <t>Participant 27</t>
  </si>
  <si>
    <t>Participant27@example.com</t>
  </si>
  <si>
    <t>555-0027</t>
  </si>
  <si>
    <t>A028</t>
  </si>
  <si>
    <t>Participant 28</t>
  </si>
  <si>
    <t>Participant28@example.com</t>
  </si>
  <si>
    <t>555-0028</t>
  </si>
  <si>
    <t>A029</t>
  </si>
  <si>
    <t>Participant 29</t>
  </si>
  <si>
    <t>Participant29@example.com</t>
  </si>
  <si>
    <t>555-0029</t>
  </si>
  <si>
    <t>A030</t>
  </si>
  <si>
    <t>Participant 30</t>
  </si>
  <si>
    <t>Participant30@example.com</t>
  </si>
  <si>
    <t>555-0030</t>
  </si>
  <si>
    <t>A031</t>
  </si>
  <si>
    <t>Participant 31</t>
  </si>
  <si>
    <t>Participant31@example.com</t>
  </si>
  <si>
    <t>555-0031</t>
  </si>
  <si>
    <t>A032</t>
  </si>
  <si>
    <t>Participant 32</t>
  </si>
  <si>
    <t>Participant32@example.com</t>
  </si>
  <si>
    <t>555-0032</t>
  </si>
  <si>
    <t>A033</t>
  </si>
  <si>
    <t>Participant 33</t>
  </si>
  <si>
    <t>Participant33@example.com</t>
  </si>
  <si>
    <t>555-0033</t>
  </si>
  <si>
    <t>A034</t>
  </si>
  <si>
    <t>Participant 34</t>
  </si>
  <si>
    <t>Participant34@example.com</t>
  </si>
  <si>
    <t>555-0034</t>
  </si>
  <si>
    <t>A035</t>
  </si>
  <si>
    <t>Participant 35</t>
  </si>
  <si>
    <t>Participant35@example.com</t>
  </si>
  <si>
    <t>555-0035</t>
  </si>
  <si>
    <t>A036</t>
  </si>
  <si>
    <t>Participant 36</t>
  </si>
  <si>
    <t>Participant36@example.com</t>
  </si>
  <si>
    <t>555-0036</t>
  </si>
  <si>
    <t>A037</t>
  </si>
  <si>
    <t>Participant 37</t>
  </si>
  <si>
    <t>Participant37@example.com</t>
  </si>
  <si>
    <t>555-0037</t>
  </si>
  <si>
    <t>A038</t>
  </si>
  <si>
    <t>Participant 38</t>
  </si>
  <si>
    <t>Participant38@example.com</t>
  </si>
  <si>
    <t>555-0038</t>
  </si>
  <si>
    <t>A039</t>
  </si>
  <si>
    <t>Participant 39</t>
  </si>
  <si>
    <t>Participant39@example.com</t>
  </si>
  <si>
    <t>555-0039</t>
  </si>
  <si>
    <t>A040</t>
  </si>
  <si>
    <t>Participant 40</t>
  </si>
  <si>
    <t>Participant40@example.com</t>
  </si>
  <si>
    <t>555-0040</t>
  </si>
  <si>
    <t>A041</t>
  </si>
  <si>
    <t>Participant 41</t>
  </si>
  <si>
    <t>Participant41@example.com</t>
  </si>
  <si>
    <t>555-0041</t>
  </si>
  <si>
    <t>A042</t>
  </si>
  <si>
    <t>Participant 42</t>
  </si>
  <si>
    <t>Participant42@example.com</t>
  </si>
  <si>
    <t>555-0042</t>
  </si>
  <si>
    <t>A043</t>
  </si>
  <si>
    <t>Participant 43</t>
  </si>
  <si>
    <t>Participant43@example.com</t>
  </si>
  <si>
    <t>555-0043</t>
  </si>
  <si>
    <t>A044</t>
  </si>
  <si>
    <t>Participant 44</t>
  </si>
  <si>
    <t>Participant44@example.com</t>
  </si>
  <si>
    <t>555-0044</t>
  </si>
  <si>
    <t>A045</t>
  </si>
  <si>
    <t>Participant 45</t>
  </si>
  <si>
    <t>Participant45@example.com</t>
  </si>
  <si>
    <t>555-0045</t>
  </si>
  <si>
    <t>A046</t>
  </si>
  <si>
    <t>Participant 46</t>
  </si>
  <si>
    <t>Participant46@example.com</t>
  </si>
  <si>
    <t>555-0046</t>
  </si>
  <si>
    <t>A047</t>
  </si>
  <si>
    <t>Participant 47</t>
  </si>
  <si>
    <t>Participant47@example.com</t>
  </si>
  <si>
    <t>555-0047</t>
  </si>
  <si>
    <t>A048</t>
  </si>
  <si>
    <t>Participant 48</t>
  </si>
  <si>
    <t>Participant48@example.com</t>
  </si>
  <si>
    <t>555-0048</t>
  </si>
  <si>
    <t>A049</t>
  </si>
  <si>
    <t>Participant 49</t>
  </si>
  <si>
    <t>Participant49@example.com</t>
  </si>
  <si>
    <t>555-0049</t>
  </si>
  <si>
    <t>A050</t>
  </si>
  <si>
    <t>Participant 50</t>
  </si>
  <si>
    <t>Participant50@example.com</t>
  </si>
  <si>
    <t>555-0050</t>
  </si>
  <si>
    <t>A051</t>
  </si>
  <si>
    <t>Participant 51</t>
  </si>
  <si>
    <t>Participant51@example.com</t>
  </si>
  <si>
    <t>555-0051</t>
  </si>
  <si>
    <t>A052</t>
  </si>
  <si>
    <t>Participant 52</t>
  </si>
  <si>
    <t>Participant52@example.com</t>
  </si>
  <si>
    <t>555-0052</t>
  </si>
  <si>
    <t>A053</t>
  </si>
  <si>
    <t>Participant 53</t>
  </si>
  <si>
    <t>Participant53@example.com</t>
  </si>
  <si>
    <t>555-0053</t>
  </si>
  <si>
    <t>A054</t>
  </si>
  <si>
    <t>Participant 54</t>
  </si>
  <si>
    <t>Participant54@example.com</t>
  </si>
  <si>
    <t>555-0054</t>
  </si>
  <si>
    <t>A055</t>
  </si>
  <si>
    <t>Participant 55</t>
  </si>
  <si>
    <t>Participant55@example.com</t>
  </si>
  <si>
    <t>555-0055</t>
  </si>
  <si>
    <t>A056</t>
  </si>
  <si>
    <t>Participant 56</t>
  </si>
  <si>
    <t>Participant56@example.com</t>
  </si>
  <si>
    <t>555-0056</t>
  </si>
  <si>
    <t>A057</t>
  </si>
  <si>
    <t>Participant 57</t>
  </si>
  <si>
    <t>Participant57@example.com</t>
  </si>
  <si>
    <t>555-0057</t>
  </si>
  <si>
    <t>A058</t>
  </si>
  <si>
    <t>Participant 58</t>
  </si>
  <si>
    <t>Participant58@example.com</t>
  </si>
  <si>
    <t>555-0058</t>
  </si>
  <si>
    <t>A059</t>
  </si>
  <si>
    <t>Participant 59</t>
  </si>
  <si>
    <t>Participant59@example.com</t>
  </si>
  <si>
    <t>555-0059</t>
  </si>
  <si>
    <t>A060</t>
  </si>
  <si>
    <t>Participant 60</t>
  </si>
  <si>
    <t>Participant60@example.com</t>
  </si>
  <si>
    <t>555-0060</t>
  </si>
  <si>
    <t>A061</t>
  </si>
  <si>
    <t>Participant 61</t>
  </si>
  <si>
    <t>Participant61@example.com</t>
  </si>
  <si>
    <t>555-0061</t>
  </si>
  <si>
    <t>A062</t>
  </si>
  <si>
    <t>Participant 62</t>
  </si>
  <si>
    <t>Participant62@example.com</t>
  </si>
  <si>
    <t>555-0062</t>
  </si>
  <si>
    <t>A063</t>
  </si>
  <si>
    <t>Participant 63</t>
  </si>
  <si>
    <t>Participant63@example.com</t>
  </si>
  <si>
    <t>555-0063</t>
  </si>
  <si>
    <t>A064</t>
  </si>
  <si>
    <t>Participant 64</t>
  </si>
  <si>
    <t>Participant64@example.com</t>
  </si>
  <si>
    <t>555-0064</t>
  </si>
  <si>
    <t>A065</t>
  </si>
  <si>
    <t>Participant 65</t>
  </si>
  <si>
    <t>Participant65@example.com</t>
  </si>
  <si>
    <t>555-0065</t>
  </si>
  <si>
    <t>A066</t>
  </si>
  <si>
    <t>Participant 66</t>
  </si>
  <si>
    <t>Participant66@example.com</t>
  </si>
  <si>
    <t>555-0066</t>
  </si>
  <si>
    <t>A067</t>
  </si>
  <si>
    <t>Participant 67</t>
  </si>
  <si>
    <t>Participant67@example.com</t>
  </si>
  <si>
    <t>555-0067</t>
  </si>
  <si>
    <t>A068</t>
  </si>
  <si>
    <t>Participant 68</t>
  </si>
  <si>
    <t>Participant68@example.com</t>
  </si>
  <si>
    <t>555-0068</t>
  </si>
  <si>
    <t>A069</t>
  </si>
  <si>
    <t>Participant 69</t>
  </si>
  <si>
    <t>Participant69@example.com</t>
  </si>
  <si>
    <t>555-0069</t>
  </si>
  <si>
    <t>A070</t>
  </si>
  <si>
    <t>Participant 70</t>
  </si>
  <si>
    <t>Participant70@example.com</t>
  </si>
  <si>
    <t>555-0070</t>
  </si>
  <si>
    <t>A071</t>
  </si>
  <si>
    <t>Participant 71</t>
  </si>
  <si>
    <t>Participant71@example.com</t>
  </si>
  <si>
    <t>555-0071</t>
  </si>
  <si>
    <t>A072</t>
  </si>
  <si>
    <t>Participant 72</t>
  </si>
  <si>
    <t>Participant72@example.com</t>
  </si>
  <si>
    <t>555-0072</t>
  </si>
  <si>
    <t>A073</t>
  </si>
  <si>
    <t>Participant 73</t>
  </si>
  <si>
    <t>Participant73@example.com</t>
  </si>
  <si>
    <t>555-0073</t>
  </si>
  <si>
    <t>A074</t>
  </si>
  <si>
    <t>Participant 74</t>
  </si>
  <si>
    <t>Participant74@example.com</t>
  </si>
  <si>
    <t>555-0074</t>
  </si>
  <si>
    <t>A075</t>
  </si>
  <si>
    <t>Participant 75</t>
  </si>
  <si>
    <t>Participant75@example.com</t>
  </si>
  <si>
    <t>555-0075</t>
  </si>
  <si>
    <t>A076</t>
  </si>
  <si>
    <t>Participant 76</t>
  </si>
  <si>
    <t>Participant76@example.com</t>
  </si>
  <si>
    <t>555-0076</t>
  </si>
  <si>
    <t>A077</t>
  </si>
  <si>
    <t>Participant 77</t>
  </si>
  <si>
    <t>Participant77@example.com</t>
  </si>
  <si>
    <t>555-0077</t>
  </si>
  <si>
    <t>A078</t>
  </si>
  <si>
    <t>Participant 78</t>
  </si>
  <si>
    <t>Participant78@example.com</t>
  </si>
  <si>
    <t>555-0078</t>
  </si>
  <si>
    <t>A079</t>
  </si>
  <si>
    <t>Participant 79</t>
  </si>
  <si>
    <t>Participant79@example.com</t>
  </si>
  <si>
    <t>555-0079</t>
  </si>
  <si>
    <t>A080</t>
  </si>
  <si>
    <t>Participant 80</t>
  </si>
  <si>
    <t>Participant80@example.com</t>
  </si>
  <si>
    <t>555-0080</t>
  </si>
  <si>
    <t>A081</t>
  </si>
  <si>
    <t>Participant 81</t>
  </si>
  <si>
    <t>Participant81@example.com</t>
  </si>
  <si>
    <t>555-0081</t>
  </si>
  <si>
    <t>A082</t>
  </si>
  <si>
    <t>Participant 82</t>
  </si>
  <si>
    <t>Participant82@example.com</t>
  </si>
  <si>
    <t>555-0082</t>
  </si>
  <si>
    <t>A083</t>
  </si>
  <si>
    <t>Participant 83</t>
  </si>
  <si>
    <t>Participant83@example.com</t>
  </si>
  <si>
    <t>555-0083</t>
  </si>
  <si>
    <t>A084</t>
  </si>
  <si>
    <t>Participant 84</t>
  </si>
  <si>
    <t>Participant84@example.com</t>
  </si>
  <si>
    <t>555-0084</t>
  </si>
  <si>
    <t>A085</t>
  </si>
  <si>
    <t>Participant 85</t>
  </si>
  <si>
    <t>Participant85@example.com</t>
  </si>
  <si>
    <t>555-0085</t>
  </si>
  <si>
    <t>A086</t>
  </si>
  <si>
    <t>Participant 86</t>
  </si>
  <si>
    <t>Participant86@example.com</t>
  </si>
  <si>
    <t>555-0086</t>
  </si>
  <si>
    <t>A087</t>
  </si>
  <si>
    <t>Participant 87</t>
  </si>
  <si>
    <t>Participant87@example.com</t>
  </si>
  <si>
    <t>555-0087</t>
  </si>
  <si>
    <t>A088</t>
  </si>
  <si>
    <t>Participant 88</t>
  </si>
  <si>
    <t>Participant88@example.com</t>
  </si>
  <si>
    <t>555-0088</t>
  </si>
  <si>
    <t>A089</t>
  </si>
  <si>
    <t>Participant 89</t>
  </si>
  <si>
    <t>Participant89@example.com</t>
  </si>
  <si>
    <t>555-0089</t>
  </si>
  <si>
    <t>A090</t>
  </si>
  <si>
    <t>Participant 90</t>
  </si>
  <si>
    <t>Participant90@example.com</t>
  </si>
  <si>
    <t>555-0090</t>
  </si>
  <si>
    <t>A091</t>
  </si>
  <si>
    <t>Participant 91</t>
  </si>
  <si>
    <t>Participant91@example.com</t>
  </si>
  <si>
    <t>555-0091</t>
  </si>
  <si>
    <t>A092</t>
  </si>
  <si>
    <t>Participant 92</t>
  </si>
  <si>
    <t>Participant92@example.com</t>
  </si>
  <si>
    <t>555-0092</t>
  </si>
  <si>
    <t>A093</t>
  </si>
  <si>
    <t>Participant 93</t>
  </si>
  <si>
    <t>Participant93@example.com</t>
  </si>
  <si>
    <t>555-0093</t>
  </si>
  <si>
    <t>A094</t>
  </si>
  <si>
    <t>Participant 94</t>
  </si>
  <si>
    <t>Participant94@example.com</t>
  </si>
  <si>
    <t>555-0094</t>
  </si>
  <si>
    <t>A095</t>
  </si>
  <si>
    <t>Participant 95</t>
  </si>
  <si>
    <t>Participant95@example.com</t>
  </si>
  <si>
    <t>555-0095</t>
  </si>
  <si>
    <t>A096</t>
  </si>
  <si>
    <t>Participant 96</t>
  </si>
  <si>
    <t>Participant96@example.com</t>
  </si>
  <si>
    <t>555-0096</t>
  </si>
  <si>
    <t>A097</t>
  </si>
  <si>
    <t>Participant 97</t>
  </si>
  <si>
    <t>Participant97@example.com</t>
  </si>
  <si>
    <t>555-0097</t>
  </si>
  <si>
    <t>A098</t>
  </si>
  <si>
    <t>Participant 98</t>
  </si>
  <si>
    <t>Participant98@example.com</t>
  </si>
  <si>
    <t>555-0098</t>
  </si>
  <si>
    <t>A099</t>
  </si>
  <si>
    <t>Participant 99</t>
  </si>
  <si>
    <t>Participant99@example.com</t>
  </si>
  <si>
    <t>555-0099</t>
  </si>
  <si>
    <t>A100</t>
  </si>
  <si>
    <t>Participant 100</t>
  </si>
  <si>
    <t>Participant100@example.com</t>
  </si>
  <si>
    <t>555-0100</t>
  </si>
  <si>
    <t>Original budget (EUR)</t>
  </si>
  <si>
    <t>Budget Challenge (EUR)</t>
  </si>
  <si>
    <t>Source: original workbook, Assumptions!C2/C4/C6.</t>
  </si>
  <si>
    <t>Budget Challenge costs: assignment instructions.</t>
  </si>
  <si>
    <t>Target is written as “€100,00” in the assignment. Enter the confirmed amount in F2.</t>
  </si>
  <si>
    <t>All amounts are EUR. No exchange rate or sponsorship revenue is assumed.</t>
  </si>
  <si>
    <t>Tech Innovators Summit</t>
  </si>
  <si>
    <t>Event Dashboard</t>
  </si>
  <si>
    <t>Historical attendees</t>
  </si>
  <si>
    <t>Historical ticket revenue</t>
  </si>
  <si>
    <t>Average ticket price</t>
  </si>
  <si>
    <t>Planning attendance</t>
  </si>
  <si>
    <t>Forecast ticket revenue</t>
  </si>
  <si>
    <t>Forecast profit</t>
  </si>
  <si>
    <t>Marketing (EUR)</t>
  </si>
  <si>
    <t>Operations (EUR)</t>
  </si>
  <si>
    <t>Profit target (EUR)</t>
  </si>
  <si>
    <t>Required price</t>
  </si>
  <si>
    <t>Minimum attendees</t>
  </si>
  <si>
    <t>Current average price</t>
  </si>
  <si>
    <t>Filters below affect historical KPIs and all three charts. The forecast uses the full training history.</t>
  </si>
  <si>
    <t>Monthly registrations and ticket sales</t>
  </si>
  <si>
    <t>Registration month</t>
  </si>
  <si>
    <t>Registrations</t>
  </si>
  <si>
    <t>Ticket sales (EUR)</t>
  </si>
  <si>
    <t>Average ticket (EUR)</t>
  </si>
  <si>
    <t>Forecast training</t>
  </si>
  <si>
    <t>Month label</t>
  </si>
  <si>
    <t>Included</t>
  </si>
  <si>
    <t>Historical total</t>
  </si>
  <si>
    <t>Attendance forecast and pricing</t>
  </si>
  <si>
    <t>Forecast month</t>
  </si>
  <si>
    <t>ETS registrations</t>
  </si>
  <si>
    <t>Planning attendees</t>
  </si>
  <si>
    <t>Revenue at historic price</t>
  </si>
  <si>
    <t>Forecast basis</t>
  </si>
  <si>
    <t>12 months after the final source month: Dec 2024–Nov 2025.</t>
  </si>
  <si>
    <t>Training window</t>
  </si>
  <si>
    <t>Dec 2022–Oct 2024. Boundary months excluded as potentially partial.</t>
  </si>
  <si>
    <t>ETS seasonality</t>
  </si>
  <si>
    <t>0 (no seasonality). Fewer than two full annual cycles are available.</t>
  </si>
  <si>
    <t>Attendance proxy</t>
  </si>
  <si>
    <t>Registration counts are used. Actual check-in attendance is not supplied.</t>
  </si>
  <si>
    <t>Budget basis</t>
  </si>
  <si>
    <t>Marketing and operating costs apply once to the 12-month plan.</t>
  </si>
  <si>
    <t>12-month planning total</t>
  </si>
  <si>
    <t>Revenue basis</t>
  </si>
  <si>
    <t>Financial model</t>
  </si>
  <si>
    <t>Original budget</t>
  </si>
  <si>
    <t>Budget Challenge</t>
  </si>
  <si>
    <t>Ticket revenue only. No sponsorship or exchange rates added.</t>
  </si>
  <si>
    <t>Average ticket price (EUR)</t>
  </si>
  <si>
    <t>Predicted attendance</t>
  </si>
  <si>
    <t>Goal Seek price</t>
  </si>
  <si>
    <t>Forecasted revenue (EUR)</t>
  </si>
  <si>
    <t>Set B33 to the target in B28 by changing B32. Challenge: D33 / D28 / D32.</t>
  </si>
  <si>
    <t>Marketing costs (EUR)</t>
  </si>
  <si>
    <t>Operational costs (EUR)</t>
  </si>
  <si>
    <t>Goal Seek attendance</t>
  </si>
  <si>
    <t>Forecast profit (EUR)</t>
  </si>
  <si>
    <t>Set B37 to B28 by changing B36. Challenge: D37 / D28 / D36.</t>
  </si>
  <si>
    <t>Gap to target (EUR)</t>
  </si>
  <si>
    <t>Rounding</t>
  </si>
  <si>
    <t>Price solution is unrounded. Round UP for a payable price. Attendees round UP.</t>
  </si>
  <si>
    <t>Goal Seek: price input (EUR)</t>
  </si>
  <si>
    <t>Profit at price input (EUR)</t>
  </si>
  <si>
    <t>Required ticket price (EUR)</t>
  </si>
  <si>
    <t>Goal Seek: attendee input</t>
  </si>
  <si>
    <t>Profit at attendee input (EUR)</t>
  </si>
  <si>
    <t>Minimum whole attendees</t>
  </si>
  <si>
    <t>Profit at minimum attendees (EUR)</t>
  </si>
  <si>
    <t>Attendee management</t>
  </si>
  <si>
    <t>VBA setup is required to activate the management buttons.</t>
  </si>
  <si>
    <t>A commented VBA module and UserForm setup code are supplied separately.</t>
  </si>
  <si>
    <t>Edit Database directly and use Data &gt; Refresh All until VBA is installed.</t>
  </si>
  <si>
    <t>Filtered dashboard chart data</t>
  </si>
  <si>
    <t>Session</t>
  </si>
  <si>
    <t>Revenue (EUR)</t>
  </si>
  <si>
    <t>Attendees</t>
  </si>
  <si>
    <t>Attendance type</t>
  </si>
  <si>
    <t>Month</t>
  </si>
  <si>
    <t>Month date</t>
  </si>
  <si>
    <t>Workbook guide and changes</t>
  </si>
  <si>
    <t>Source</t>
  </si>
  <si>
    <t>Tech Innovators Summit dataset. Original Data preserves the supplied eight columns and 100 records. Original assumptions remain in Assumptions!C2/C4/C6.</t>
  </si>
  <si>
    <t>Preparation</t>
  </si>
  <si>
    <t>Added Attendee ID header, Dietary Preference (Not provided), registration-month helper, data validation and an expandable Attendees table.</t>
  </si>
  <si>
    <t>Monthly summaries</t>
  </si>
  <si>
    <t>All source months are included. A zero means no registrations in the supplied file for that month, not proof of full operational coverage.</t>
  </si>
  <si>
    <t>Forecast</t>
  </si>
  <si>
    <t>ETS without seasonality uses the 23 interior months. Twelve future months are a planning assumption. Registration dates are not event dates.</t>
  </si>
  <si>
    <t>Marketing EUR 10,000; operations EUR 25,000. Assignment target “EUR 100,00” is ambiguous. Confirm and enter Assumptions!F2.</t>
  </si>
  <si>
    <t>Pricing alternatives</t>
  </si>
  <si>
    <t>Required price holds forecast attendance fixed. Minimum attendees holds the historic average price fixed. These are alternative strategies, not simultaneous assumptions.</t>
  </si>
  <si>
    <t>Interactive dashboards</t>
  </si>
  <si>
    <t>Each dashboard has separate attendance/session slicers and registration-date timeline. All three historical charts and historical KPIs share those filters.</t>
  </si>
  <si>
    <t>Refresh</t>
  </si>
  <si>
    <t>After editing or adding Database rows, use Data &gt; Refresh All. The supplied RefreshDashboard macro refreshes pivots and calculations once installed.</t>
  </si>
  <si>
    <t>VBA limitation</t>
  </si>
  <si>
    <t>Attendee form</t>
  </si>
  <si>
    <t>The worksheet form can be used after importing the module. Optional setup code builds the requested AttendeeForm with TextBoxes, ComboBoxes, OptionButtons and a dietary ListBox.</t>
  </si>
  <si>
    <t>Preservation</t>
  </si>
  <si>
    <t>No unsupported exchange rate, sponsor revenue, dietary selections, event dates or row-level marketing costs were fabricated.</t>
  </si>
  <si>
    <t>Forecast updates</t>
  </si>
  <si>
    <t>Currency</t>
  </si>
  <si>
    <t>All financial values are EUR. Target and costs are budget inputs; there is no source evidence of actual historical event expenses.</t>
  </si>
  <si>
    <t>Grand Total</t>
  </si>
  <si>
    <t>Attendee count</t>
  </si>
  <si>
    <t>Ticket revenue</t>
  </si>
  <si>
    <t>Boundary excluded</t>
  </si>
  <si>
    <t>Monthly history, trend charts and forecast windows use the source period. For new months, extend Monthly Summary, Dashboard Data, line-chart ranges and forecast references. Unhide support sheets via Home &gt; Format &gt; Hide &amp; Unhide.</t>
  </si>
  <si>
    <t>Excel denies programmatic VBA-project access. XLSX has no embedded macros. Supplied VBA covers attendee actions and refresh, but execution and UserForm setup remain untested.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</si>
</sst>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quot;€&quot;#,##0.00\);&quot;€&quot;0.00"/>
    <numFmt numFmtId="166" formatCode="mmm\ yyyy"/>
    <numFmt numFmtId="167" formatCode="&quot;€&quot;#,##0.00"/>
  </numFmts>
  <fonts count="7" x14ac:knownFonts="1">
    <font>
      <sz val="11"/>
      <color theme="1"/>
      <name val="Calibri"/>
    </font>
    <font>
      <sz val="11"/>
      <color rgb="FF223646"/>
      <name val="Arial"/>
    </font>
    <font>
      <b/>
      <sz val="11"/>
      <color rgb="FFFFFFFF"/>
      <name val="Arial"/>
    </font>
    <font>
      <sz val="11"/>
      <color rgb="FF0000FF"/>
      <name val="Arial"/>
    </font>
    <font>
      <b/>
      <sz val="16"/>
      <color rgb="FFFFFFFF"/>
      <name val="Arial"/>
    </font>
    <font>
      <sz val="16"/>
      <color rgb="FF223646"/>
      <name val="Arial"/>
    </font>
    <font>
      <sz val="10"/>
      <color rgb="FF223646"/>
      <name val="Arial"/>
      <family val="2"/>
    </font>
  </fonts>
  <fills count="4">
    <fill>
      <patternFill patternType="none"/>
    </fill>
    <fill>
      <patternFill patternType="gray125"/>
    </fill>
    <fill>
      <patternFill patternType="solid">
        <fgColor rgb="FF18344A"/>
      </patternFill>
    </fill>
    <fill>
      <patternFill patternType="solid">
        <fgColor rgb="FFFFF0C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applyAlignment="1">
      <alignment vertical="center"/>
    </xf>
    <xf numFmtId="165" fontId="1" fillId="0" borderId="0" xfId="0" applyNumberFormat="1" applyFont="1" applyAlignment="1">
      <alignment vertical="center"/>
    </xf>
    <xf numFmtId="164" fontId="1" fillId="0" borderId="0" xfId="0" applyNumberFormat="1" applyFont="1" applyAlignment="1">
      <alignment vertical="center"/>
    </xf>
    <xf numFmtId="0" fontId="1" fillId="2" borderId="0" xfId="0" applyFont="1" applyFill="1" applyAlignment="1">
      <alignment vertical="center"/>
    </xf>
    <xf numFmtId="0" fontId="2" fillId="2" borderId="1" xfId="0" applyFont="1" applyFill="1" applyBorder="1" applyAlignment="1">
      <alignment horizontal="center" vertical="center" wrapText="1"/>
    </xf>
    <xf numFmtId="0" fontId="2" fillId="2" borderId="0" xfId="0" applyFont="1" applyFill="1" applyAlignment="1">
      <alignment vertical="center" wrapText="1"/>
    </xf>
    <xf numFmtId="166" fontId="1" fillId="0" borderId="0" xfId="0" applyNumberFormat="1" applyFont="1" applyAlignment="1">
      <alignment vertical="center"/>
    </xf>
    <xf numFmtId="0" fontId="1" fillId="3" borderId="0" xfId="0" applyFont="1" applyFill="1" applyAlignment="1">
      <alignment vertical="center"/>
    </xf>
    <xf numFmtId="165" fontId="3" fillId="3" borderId="0" xfId="0" applyNumberFormat="1" applyFont="1" applyFill="1" applyAlignment="1">
      <alignment vertical="center"/>
    </xf>
    <xf numFmtId="0" fontId="4" fillId="2" borderId="0" xfId="0" applyFont="1" applyFill="1" applyAlignment="1">
      <alignment vertical="center"/>
    </xf>
    <xf numFmtId="165" fontId="2" fillId="2" borderId="0" xfId="0" applyNumberFormat="1" applyFont="1" applyFill="1" applyAlignment="1">
      <alignment vertical="center" wrapText="1"/>
    </xf>
    <xf numFmtId="2" fontId="1" fillId="0" borderId="0" xfId="0" applyNumberFormat="1" applyFont="1" applyAlignment="1">
      <alignment vertical="center"/>
    </xf>
    <xf numFmtId="1" fontId="1" fillId="0" borderId="0" xfId="0" applyNumberFormat="1" applyFont="1" applyAlignment="1">
      <alignment vertical="center"/>
    </xf>
    <xf numFmtId="165" fontId="1" fillId="3" borderId="0" xfId="0" applyNumberFormat="1" applyFont="1" applyFill="1" applyAlignment="1">
      <alignment vertical="center"/>
    </xf>
    <xf numFmtId="0" fontId="5" fillId="0" borderId="0" xfId="0" applyFont="1" applyAlignment="1">
      <alignment vertical="center"/>
    </xf>
    <xf numFmtId="165" fontId="5" fillId="0" borderId="0" xfId="0" applyNumberFormat="1" applyFont="1" applyAlignment="1">
      <alignment vertical="center"/>
    </xf>
    <xf numFmtId="164" fontId="1" fillId="3" borderId="0" xfId="0" applyNumberFormat="1" applyFont="1" applyFill="1" applyAlignment="1">
      <alignment vertical="center"/>
    </xf>
    <xf numFmtId="0" fontId="0" fillId="0" borderId="0" xfId="0" pivotButton="1"/>
    <xf numFmtId="165" fontId="0" fillId="0" borderId="0" xfId="0" applyNumberFormat="1"/>
    <xf numFmtId="166" fontId="0" fillId="0" borderId="0" xfId="0" applyNumberFormat="1"/>
    <xf numFmtId="2" fontId="3" fillId="3" borderId="0" xfId="0" applyNumberFormat="1" applyFont="1" applyFill="1" applyAlignment="1">
      <alignment vertical="center"/>
    </xf>
    <xf numFmtId="2" fontId="2" fillId="2" borderId="0" xfId="0" applyNumberFormat="1" applyFont="1" applyFill="1" applyAlignment="1">
      <alignment vertical="center" wrapText="1"/>
    </xf>
    <xf numFmtId="1" fontId="2" fillId="2" borderId="0" xfId="0" applyNumberFormat="1" applyFont="1" applyFill="1" applyAlignment="1">
      <alignment vertical="center" wrapText="1"/>
    </xf>
    <xf numFmtId="167" fontId="2" fillId="2" borderId="0" xfId="0" applyNumberFormat="1" applyFont="1" applyFill="1" applyAlignment="1">
      <alignment vertical="center" wrapText="1"/>
    </xf>
    <xf numFmtId="0" fontId="5" fillId="0" borderId="0" xfId="0" applyFont="1" applyAlignment="1">
      <alignment horizontal="left" vertical="center"/>
    </xf>
    <xf numFmtId="165" fontId="5" fillId="0" borderId="0" xfId="0" applyNumberFormat="1" applyFont="1" applyAlignment="1">
      <alignment horizontal="left" vertical="center"/>
    </xf>
    <xf numFmtId="0" fontId="6" fillId="0" borderId="0" xfId="0" applyFont="1" applyAlignment="1">
      <alignment vertical="center"/>
    </xf>
    <xf numFmtId="165"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Ticket revenue by session (EUR)</a:t>
            </a:r>
          </a:p>
        </c:rich>
      </c:tx>
      <c:overlay val="0"/>
    </c:title>
    <c:autoTitleDeleted val="0"/>
    <c:plotArea>
      <c:layout/>
      <c:barChart>
        <c:barDir val="bar"/>
        <c:grouping val="clustered"/>
        <c:varyColors val="0"/>
        <c:ser>
          <c:idx val="0"/>
          <c:order val="0"/>
          <c:tx>
            <c:v>Revenue (EUR)</c:v>
          </c:tx>
          <c:spPr>
            <a:solidFill>
              <a:srgbClr val="246B9A"/>
            </a:solidFill>
          </c:spPr>
          <c:invertIfNegative val="1"/>
          <c:cat>
            <c:strRef>
              <c:f>'Dashboard Data'!$A$6:$A$8</c:f>
              <c:strCache>
                <c:ptCount val="3"/>
                <c:pt idx="0">
                  <c:v>Data Analytics</c:v>
                </c:pt>
                <c:pt idx="1">
                  <c:v>Artificial Intelligence</c:v>
                </c:pt>
                <c:pt idx="2">
                  <c:v>Cybersecurity</c:v>
                </c:pt>
              </c:strCache>
            </c:strRef>
          </c:cat>
          <c:val>
            <c:numRef>
              <c:f>'Dashboard Data'!$B$6:$B$8</c:f>
              <c:numCache>
                <c:formatCode>General</c:formatCode>
                <c:ptCount val="3"/>
                <c:pt idx="0">
                  <c:v>15300</c:v>
                </c:pt>
                <c:pt idx="1">
                  <c:v>23100</c:v>
                </c:pt>
                <c:pt idx="2">
                  <c:v>9900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32F-4893-8CEB-02670ADC840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in val="0"/>
        </c:scaling>
        <c:delete val="0"/>
        <c:axPos val="b"/>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Online vs in-person attendance</a:t>
            </a:r>
          </a:p>
        </c:rich>
      </c:tx>
      <c:overlay val="0"/>
    </c:title>
    <c:autoTitleDeleted val="0"/>
    <c:plotArea>
      <c:layout/>
      <c:pieChart>
        <c:varyColors val="1"/>
        <c:ser>
          <c:idx val="0"/>
          <c:order val="0"/>
          <c:tx>
            <c:v>Attendees</c:v>
          </c:tx>
          <c:cat>
            <c:strRef>
              <c:f>'Dashboard Data'!$A$12:$A$13</c:f>
              <c:strCache>
                <c:ptCount val="2"/>
                <c:pt idx="0">
                  <c:v>Online</c:v>
                </c:pt>
                <c:pt idx="1">
                  <c:v>In-Person</c:v>
                </c:pt>
              </c:strCache>
            </c:strRef>
          </c:cat>
          <c:val>
            <c:numRef>
              <c:f>'Dashboard Data'!$B$12:$B$13</c:f>
              <c:numCache>
                <c:formatCode>General</c:formatCode>
                <c:ptCount val="2"/>
                <c:pt idx="0">
                  <c:v>50</c:v>
                </c:pt>
                <c:pt idx="1">
                  <c:v>50</c:v>
                </c:pt>
              </c:numCache>
            </c:numRef>
          </c:val>
          <c:extLst>
            <c:ext xmlns:c16="http://schemas.microsoft.com/office/drawing/2014/chart" uri="{C3380CC4-5D6E-409C-BE32-E72D297353CC}">
              <c16:uniqueId val="{00000000-F78C-4BDA-AB98-92F8423071B1}"/>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spPr>
    <a:ln w="9525">
      <a:solidFill>
        <a:srgbClr val="D9D9D9"/>
      </a:solidFill>
      <a:prstDash val="solid"/>
    </a:ln>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Monthly registrations</a:t>
            </a:r>
          </a:p>
        </c:rich>
      </c:tx>
      <c:overlay val="0"/>
    </c:title>
    <c:autoTitleDeleted val="0"/>
    <c:plotArea>
      <c:layout/>
      <c:lineChart>
        <c:grouping val="standard"/>
        <c:varyColors val="0"/>
        <c:ser>
          <c:idx val="0"/>
          <c:order val="0"/>
          <c:tx>
            <c:v>Registrations</c:v>
          </c:tx>
          <c:spPr>
            <a:ln w="19050">
              <a:solidFill>
                <a:srgbClr val="246B9A"/>
              </a:solidFill>
              <a:prstDash val="solid"/>
            </a:ln>
          </c:spPr>
          <c:marker>
            <c:symbol val="none"/>
          </c:marker>
          <c:cat>
            <c:strRef>
              <c:f>'Dashboard Data'!$A$17:$A$41</c:f>
              <c:strCache>
                <c:ptCount val="25"/>
                <c:pt idx="0">
                  <c:v>Nov 22</c:v>
                </c:pt>
                <c:pt idx="1">
                  <c:v>Dec 22</c:v>
                </c:pt>
                <c:pt idx="2">
                  <c:v>Jan 23</c:v>
                </c:pt>
                <c:pt idx="3">
                  <c:v>Feb 23</c:v>
                </c:pt>
                <c:pt idx="4">
                  <c:v>Mar 23</c:v>
                </c:pt>
                <c:pt idx="5">
                  <c:v>Apr 23</c:v>
                </c:pt>
                <c:pt idx="6">
                  <c:v>May 23</c:v>
                </c:pt>
                <c:pt idx="7">
                  <c:v>Jun 23</c:v>
                </c:pt>
                <c:pt idx="8">
                  <c:v>Jul 23</c:v>
                </c:pt>
                <c:pt idx="9">
                  <c:v>Aug 23</c:v>
                </c:pt>
                <c:pt idx="10">
                  <c:v>Sep 23</c:v>
                </c:pt>
                <c:pt idx="11">
                  <c:v>Oct 23</c:v>
                </c:pt>
                <c:pt idx="12">
                  <c:v>Nov 23</c:v>
                </c:pt>
                <c:pt idx="13">
                  <c:v>Dec 23</c:v>
                </c:pt>
                <c:pt idx="14">
                  <c:v>Jan 24</c:v>
                </c:pt>
                <c:pt idx="15">
                  <c:v>Feb 24</c:v>
                </c:pt>
                <c:pt idx="16">
                  <c:v>Mar 24</c:v>
                </c:pt>
                <c:pt idx="17">
                  <c:v>Apr 24</c:v>
                </c:pt>
                <c:pt idx="18">
                  <c:v>May 24</c:v>
                </c:pt>
                <c:pt idx="19">
                  <c:v>Jun 24</c:v>
                </c:pt>
                <c:pt idx="20">
                  <c:v>Jul 24</c:v>
                </c:pt>
                <c:pt idx="21">
                  <c:v>Aug 24</c:v>
                </c:pt>
                <c:pt idx="22">
                  <c:v>Sep 24</c:v>
                </c:pt>
                <c:pt idx="23">
                  <c:v>Oct 24</c:v>
                </c:pt>
                <c:pt idx="24">
                  <c:v>Nov 24</c:v>
                </c:pt>
              </c:strCache>
            </c:strRef>
          </c:cat>
          <c:val>
            <c:numRef>
              <c:f>'Dashboard Data'!$B$17:$B$41</c:f>
              <c:numCache>
                <c:formatCode>General</c:formatCode>
                <c:ptCount val="25"/>
                <c:pt idx="0">
                  <c:v>1</c:v>
                </c:pt>
                <c:pt idx="1">
                  <c:v>4</c:v>
                </c:pt>
                <c:pt idx="2">
                  <c:v>3</c:v>
                </c:pt>
                <c:pt idx="3">
                  <c:v>8</c:v>
                </c:pt>
                <c:pt idx="4">
                  <c:v>1</c:v>
                </c:pt>
                <c:pt idx="5">
                  <c:v>6</c:v>
                </c:pt>
                <c:pt idx="6">
                  <c:v>3</c:v>
                </c:pt>
                <c:pt idx="7">
                  <c:v>2</c:v>
                </c:pt>
                <c:pt idx="8">
                  <c:v>5</c:v>
                </c:pt>
                <c:pt idx="9">
                  <c:v>3</c:v>
                </c:pt>
                <c:pt idx="10">
                  <c:v>3</c:v>
                </c:pt>
                <c:pt idx="11">
                  <c:v>4</c:v>
                </c:pt>
                <c:pt idx="12">
                  <c:v>2</c:v>
                </c:pt>
                <c:pt idx="13">
                  <c:v>2</c:v>
                </c:pt>
                <c:pt idx="14">
                  <c:v>7</c:v>
                </c:pt>
                <c:pt idx="15">
                  <c:v>9</c:v>
                </c:pt>
                <c:pt idx="16">
                  <c:v>5</c:v>
                </c:pt>
                <c:pt idx="17">
                  <c:v>3</c:v>
                </c:pt>
                <c:pt idx="18">
                  <c:v>3</c:v>
                </c:pt>
                <c:pt idx="19">
                  <c:v>6</c:v>
                </c:pt>
                <c:pt idx="20">
                  <c:v>3</c:v>
                </c:pt>
                <c:pt idx="21">
                  <c:v>7</c:v>
                </c:pt>
                <c:pt idx="22">
                  <c:v>2</c:v>
                </c:pt>
                <c:pt idx="23">
                  <c:v>6</c:v>
                </c:pt>
                <c:pt idx="24">
                  <c:v>2</c:v>
                </c:pt>
              </c:numCache>
            </c:numRef>
          </c:val>
          <c:smooth val="0"/>
          <c:extLst>
            <c:ext xmlns:c16="http://schemas.microsoft.com/office/drawing/2014/chart" uri="{C3380CC4-5D6E-409C-BE32-E72D297353CC}">
              <c16:uniqueId val="{00000000-D3E0-4687-8CFC-6E457BB81A3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8</xdr:col>
      <xdr:colOff>0</xdr:colOff>
      <xdr:row>41</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28</xdr:row>
      <xdr:rowOff>0</xdr:rowOff>
    </xdr:from>
    <xdr:to>
      <xdr:col>15</xdr:col>
      <xdr:colOff>0</xdr:colOff>
      <xdr:row>41</xdr:row>
      <xdr:rowOff>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0</xdr:rowOff>
    </xdr:from>
    <xdr:to>
      <xdr:col>15</xdr:col>
      <xdr:colOff>0</xdr:colOff>
      <xdr:row>56</xdr:row>
      <xdr:rowOff>0</xdr:rowOff>
    </xdr:to>
    <xdr:graphicFrame macro="">
      <xdr:nvGraphicFramePr>
        <xdr:cNvPr id="4" nam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0</xdr:rowOff>
    </xdr:from>
    <xdr:to>
      <xdr:col>2</xdr:col>
      <xdr:colOff>596900</xdr:colOff>
      <xdr:row>25</xdr:row>
      <xdr:rowOff>165100</xdr:rowOff>
    </xdr:to>
    <mc:AlternateContent xmlns:mc="http://schemas.openxmlformats.org/markup-compatibility/2006" xmlns:a14="http://schemas.microsoft.com/office/drawing/2010/main">
      <mc:Choice Requires="a14">
        <xdr:graphicFrame macro="">
          <xdr:nvGraphicFramePr>
            <xdr:cNvPr id="5" name="AttendanceBase">
              <a:extLst>
                <a:ext uri="{FF2B5EF4-FFF2-40B4-BE49-F238E27FC236}">
                  <a16:creationId xmlns:a16="http://schemas.microsoft.com/office/drawing/2014/main" id="{2321E8FB-8DE8-DB12-64C5-08CFE9E94CD5}"/>
                </a:ext>
              </a:extLst>
            </xdr:cNvPr>
            <xdr:cNvGraphicFramePr/>
          </xdr:nvGraphicFramePr>
          <xdr:xfrm>
            <a:off x="0" y="0"/>
            <a:ext cx="0" cy="0"/>
          </xdr:xfrm>
          <a:graphic>
            <a:graphicData uri="http://schemas.microsoft.com/office/drawing/2010/slicer">
              <sle:slicer xmlns:sle="http://schemas.microsoft.com/office/drawing/2010/slicer" name="AttendanceBase"/>
            </a:graphicData>
          </a:graphic>
        </xdr:graphicFrame>
      </mc:Choice>
      <mc:Fallback xmlns="">
        <xdr:sp macro="" textlink="">
          <xdr:nvSpPr>
            <xdr:cNvPr id="0" name=""/>
            <xdr:cNvSpPr>
              <a:spLocks noTextEdit="1"/>
            </xdr:cNvSpPr>
          </xdr:nvSpPr>
          <xdr:spPr>
            <a:xfrm>
              <a:off x="0" y="5384800"/>
              <a:ext cx="2408767"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19</xdr:row>
      <xdr:rowOff>0</xdr:rowOff>
    </xdr:from>
    <xdr:to>
      <xdr:col>6</xdr:col>
      <xdr:colOff>514350</xdr:colOff>
      <xdr:row>25</xdr:row>
      <xdr:rowOff>165100</xdr:rowOff>
    </xdr:to>
    <mc:AlternateContent xmlns:mc="http://schemas.openxmlformats.org/markup-compatibility/2006" xmlns:a14="http://schemas.microsoft.com/office/drawing/2010/main">
      <mc:Choice Requires="a14">
        <xdr:graphicFrame macro="">
          <xdr:nvGraphicFramePr>
            <xdr:cNvPr id="6" name="SessionBase">
              <a:extLst>
                <a:ext uri="{FF2B5EF4-FFF2-40B4-BE49-F238E27FC236}">
                  <a16:creationId xmlns:a16="http://schemas.microsoft.com/office/drawing/2014/main" id="{55664E06-43C9-C544-915A-49948968CD2F}"/>
                </a:ext>
              </a:extLst>
            </xdr:cNvPr>
            <xdr:cNvGraphicFramePr/>
          </xdr:nvGraphicFramePr>
          <xdr:xfrm>
            <a:off x="0" y="0"/>
            <a:ext cx="0" cy="0"/>
          </xdr:xfrm>
          <a:graphic>
            <a:graphicData uri="http://schemas.microsoft.com/office/drawing/2010/slicer">
              <sle:slicer xmlns:sle="http://schemas.microsoft.com/office/drawing/2010/slicer" name="SessionBase"/>
            </a:graphicData>
          </a:graphic>
        </xdr:graphicFrame>
      </mc:Choice>
      <mc:Fallback xmlns="">
        <xdr:sp macro="" textlink="">
          <xdr:nvSpPr>
            <xdr:cNvPr id="0" name=""/>
            <xdr:cNvSpPr>
              <a:spLocks noTextEdit="1"/>
            </xdr:cNvSpPr>
          </xdr:nvSpPr>
          <xdr:spPr>
            <a:xfrm>
              <a:off x="2717800" y="5384800"/>
              <a:ext cx="3232150"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19</xdr:row>
      <xdr:rowOff>0</xdr:rowOff>
    </xdr:from>
    <xdr:to>
      <xdr:col>13</xdr:col>
      <xdr:colOff>139700</xdr:colOff>
      <xdr:row>25</xdr:row>
      <xdr:rowOff>165100</xdr:rowOff>
    </xdr:to>
    <mc:AlternateContent xmlns:mc="http://schemas.openxmlformats.org/markup-compatibility/2006" xmlns:tsle="http://schemas.microsoft.com/office/drawing/2012/timeslicer">
      <mc:Choice Requires="tsle">
        <xdr:graphicFrame macro="">
          <xdr:nvGraphicFramePr>
            <xdr:cNvPr id="7" name="DateBase">
              <a:extLst>
                <a:ext uri="{FF2B5EF4-FFF2-40B4-BE49-F238E27FC236}">
                  <a16:creationId xmlns:a16="http://schemas.microsoft.com/office/drawing/2014/main" id="{E9A82C04-2179-8370-0A48-666CA6C86693}"/>
                </a:ext>
              </a:extLst>
            </xdr:cNvPr>
            <xdr:cNvGraphicFramePr/>
          </xdr:nvGraphicFramePr>
          <xdr:xfrm>
            <a:off x="0" y="0"/>
            <a:ext cx="0" cy="0"/>
          </xdr:xfrm>
          <a:graphic>
            <a:graphicData uri="http://schemas.microsoft.com/office/drawing/2012/timeslicer">
              <tsle:timeslicer name="DateBase"/>
            </a:graphicData>
          </a:graphic>
        </xdr:graphicFrame>
      </mc:Choice>
      <mc:Fallback xmlns="">
        <xdr:sp macro="" textlink="">
          <xdr:nvSpPr>
            <xdr:cNvPr id="0" name=""/>
            <xdr:cNvSpPr>
              <a:spLocks noTextEdit="1"/>
            </xdr:cNvSpPr>
          </xdr:nvSpPr>
          <xdr:spPr>
            <a:xfrm>
              <a:off x="6341533" y="5384800"/>
              <a:ext cx="5575300" cy="1841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Alexandru Iordachi" refreshedDate="46287.91606585648" missingItemsLimit="0" createdVersion="6" refreshedVersion="8" minRefreshableVersion="3" recordCount="100" xr:uid="{DB11070A-23EC-4B1D-A49A-CA925EBCEAB8}">
  <cacheSource type="worksheet">
    <worksheetSource name="Attendees"/>
  </cacheSource>
  <cacheFields count="10">
    <cacheField name="Attendee ID" numFmtId="0">
      <sharedItems/>
    </cacheField>
    <cacheField name="Name" numFmtId="0">
      <sharedItems/>
    </cacheField>
    <cacheField name="Email" numFmtId="0">
      <sharedItems/>
    </cacheField>
    <cacheField name="Phone Number" numFmtId="0">
      <sharedItems/>
    </cacheField>
    <cacheField name="Attendance Type" numFmtId="0">
      <sharedItems count="2">
        <s v="Online"/>
        <s v="In-Person"/>
      </sharedItems>
    </cacheField>
    <cacheField name="Session Preference" numFmtId="0">
      <sharedItems count="3">
        <s v="Data Analytics"/>
        <s v="Artificial Intelligence"/>
        <s v="Cybersecurity"/>
      </sharedItems>
    </cacheField>
    <cacheField name="Ticket Price (€)" numFmtId="165">
      <sharedItems containsSemiMixedTypes="0" containsString="0" containsNumber="1" containsInteger="1" minValue="300" maxValue="700"/>
    </cacheField>
    <cacheField name="Registration Date" numFmtId="164">
      <sharedItems containsSemiMixedTypes="0" containsNonDate="0" containsDate="1" containsString="0" minDate="2022-11-13T00:00:00" maxDate="2024-11-10T00:00:00" count="95">
        <d v="2022-11-13T00:00:00"/>
        <d v="2022-12-14T00:00:00"/>
        <d v="2022-12-20T00:00:00"/>
        <d v="2022-12-26T00:00:00"/>
        <d v="2022-12-31T00:00:00"/>
        <d v="2023-01-11T00:00:00"/>
        <d v="2023-01-15T00:00:00"/>
        <d v="2023-01-17T00:00:00"/>
        <d v="2023-02-05T00:00:00"/>
        <d v="2023-02-09T00:00:00"/>
        <d v="2023-02-14T00:00:00"/>
        <d v="2023-02-18T00:00:00"/>
        <d v="2023-02-19T00:00:00"/>
        <d v="2023-02-21T00:00:00"/>
        <d v="2023-02-22T00:00:00"/>
        <d v="2023-02-25T00:00:00"/>
        <d v="2023-03-14T00:00:00"/>
        <d v="2023-04-03T00:00:00"/>
        <d v="2023-04-10T00:00:00"/>
        <d v="2023-04-12T00:00:00"/>
        <d v="2023-04-20T00:00:00"/>
        <d v="2023-04-24T00:00:00"/>
        <d v="2023-04-25T00:00:00"/>
        <d v="2023-05-02T00:00:00"/>
        <d v="2023-05-25T00:00:00"/>
        <d v="2023-05-26T00:00:00"/>
        <d v="2023-06-17T00:00:00"/>
        <d v="2023-06-24T00:00:00"/>
        <d v="2023-07-06T00:00:00"/>
        <d v="2023-07-07T00:00:00"/>
        <d v="2023-07-24T00:00:00"/>
        <d v="2023-07-26T00:00:00"/>
        <d v="2023-07-31T00:00:00"/>
        <d v="2023-08-04T00:00:00"/>
        <d v="2023-08-17T00:00:00"/>
        <d v="2023-09-09T00:00:00"/>
        <d v="2023-09-11T00:00:00"/>
        <d v="2023-09-30T00:00:00"/>
        <d v="2023-10-14T00:00:00"/>
        <d v="2023-10-16T00:00:00"/>
        <d v="2023-10-25T00:00:00"/>
        <d v="2023-10-31T00:00:00"/>
        <d v="2023-11-03T00:00:00"/>
        <d v="2023-11-30T00:00:00"/>
        <d v="2023-12-03T00:00:00"/>
        <d v="2023-12-09T00:00:00"/>
        <d v="2024-01-08T00:00:00"/>
        <d v="2024-01-16T00:00:00"/>
        <d v="2024-01-22T00:00:00"/>
        <d v="2024-01-24T00:00:00"/>
        <d v="2024-01-31T00:00:00"/>
        <d v="2024-02-08T00:00:00"/>
        <d v="2024-02-09T00:00:00"/>
        <d v="2024-02-11T00:00:00"/>
        <d v="2024-02-16T00:00:00"/>
        <d v="2024-02-21T00:00:00"/>
        <d v="2024-02-23T00:00:00"/>
        <d v="2024-02-27T00:00:00"/>
        <d v="2024-02-28T00:00:00"/>
        <d v="2024-03-02T00:00:00"/>
        <d v="2024-03-17T00:00:00"/>
        <d v="2024-03-22T00:00:00"/>
        <d v="2024-03-24T00:00:00"/>
        <d v="2024-04-09T00:00:00"/>
        <d v="2024-04-17T00:00:00"/>
        <d v="2024-04-28T00:00:00"/>
        <d v="2024-05-04T00:00:00"/>
        <d v="2024-05-13T00:00:00"/>
        <d v="2024-05-25T00:00:00"/>
        <d v="2024-06-13T00:00:00"/>
        <d v="2024-06-16T00:00:00"/>
        <d v="2024-06-18T00:00:00"/>
        <d v="2024-06-23T00:00:00"/>
        <d v="2024-06-27T00:00:00"/>
        <d v="2024-06-28T00:00:00"/>
        <d v="2024-07-01T00:00:00"/>
        <d v="2024-07-03T00:00:00"/>
        <d v="2024-07-11T00:00:00"/>
        <d v="2024-08-02T00:00:00"/>
        <d v="2024-08-09T00:00:00"/>
        <d v="2024-08-14T00:00:00"/>
        <d v="2024-08-22T00:00:00"/>
        <d v="2024-08-26T00:00:00"/>
        <d v="2024-08-29T00:00:00"/>
        <d v="2024-08-30T00:00:00"/>
        <d v="2024-09-25T00:00:00"/>
        <d v="2024-09-27T00:00:00"/>
        <d v="2024-10-01T00:00:00"/>
        <d v="2024-10-06T00:00:00"/>
        <d v="2024-10-16T00:00:00"/>
        <d v="2024-10-23T00:00:00"/>
        <d v="2024-10-25T00:00:00"/>
        <d v="2024-10-28T00:00:00"/>
        <d v="2024-11-02T00:00:00"/>
        <d v="2024-11-09T00:00:00"/>
      </sharedItems>
    </cacheField>
    <cacheField name="Dietary Preference" numFmtId="0">
      <sharedItems/>
    </cacheField>
    <cacheField name="Registration Month" numFmtId="166">
      <sharedItems containsSemiMixedTypes="0" containsNonDate="0" containsDate="1" containsString="0" minDate="2022-11-01T00:00:00" maxDate="2024-11-02T00:00:00" count="25">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sharedItems>
    </cacheField>
  </cacheFields>
  <extLst>
    <ext xmlns:x14="http://schemas.microsoft.com/office/spreadsheetml/2009/9/main" uri="{725AE2AE-9491-48be-B2B4-4EB974FC3084}">
      <x14:pivotCacheDefinition pivotCacheId="11732847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Alexandru Iordachi" refreshedDate="46287.916066203703" missingItemsLimit="0" createdVersion="6" refreshedVersion="8" minRefreshableVersion="3" recordCount="100" xr:uid="{ACA3EB16-4589-4E0F-83DC-3D720EE62CED}">
  <cacheSource type="worksheet">
    <worksheetSource name="Attendees"/>
  </cacheSource>
  <cacheFields count="10">
    <cacheField name="Attendee ID" numFmtId="0">
      <sharedItems/>
    </cacheField>
    <cacheField name="Name" numFmtId="0">
      <sharedItems/>
    </cacheField>
    <cacheField name="Email" numFmtId="0">
      <sharedItems/>
    </cacheField>
    <cacheField name="Phone Number" numFmtId="0">
      <sharedItems/>
    </cacheField>
    <cacheField name="Attendance Type" numFmtId="0">
      <sharedItems count="2">
        <s v="Online"/>
        <s v="In-Person"/>
      </sharedItems>
    </cacheField>
    <cacheField name="Session Preference" numFmtId="0">
      <sharedItems count="3">
        <s v="Data Analytics"/>
        <s v="Artificial Intelligence"/>
        <s v="Cybersecurity"/>
      </sharedItems>
    </cacheField>
    <cacheField name="Ticket Price (€)" numFmtId="165">
      <sharedItems containsSemiMixedTypes="0" containsString="0" containsNumber="1" containsInteger="1" minValue="300" maxValue="700"/>
    </cacheField>
    <cacheField name="Registration Date" numFmtId="164">
      <sharedItems containsSemiMixedTypes="0" containsNonDate="0" containsDate="1" containsString="0" minDate="2022-11-13T00:00:00" maxDate="2024-11-10T00:00:00" count="95">
        <d v="2022-11-13T00:00:00"/>
        <d v="2022-12-14T00:00:00"/>
        <d v="2022-12-20T00:00:00"/>
        <d v="2022-12-26T00:00:00"/>
        <d v="2022-12-31T00:00:00"/>
        <d v="2023-01-11T00:00:00"/>
        <d v="2023-01-15T00:00:00"/>
        <d v="2023-01-17T00:00:00"/>
        <d v="2023-02-05T00:00:00"/>
        <d v="2023-02-09T00:00:00"/>
        <d v="2023-02-14T00:00:00"/>
        <d v="2023-02-18T00:00:00"/>
        <d v="2023-02-19T00:00:00"/>
        <d v="2023-02-21T00:00:00"/>
        <d v="2023-02-22T00:00:00"/>
        <d v="2023-02-25T00:00:00"/>
        <d v="2023-03-14T00:00:00"/>
        <d v="2023-04-03T00:00:00"/>
        <d v="2023-04-10T00:00:00"/>
        <d v="2023-04-12T00:00:00"/>
        <d v="2023-04-20T00:00:00"/>
        <d v="2023-04-24T00:00:00"/>
        <d v="2023-04-25T00:00:00"/>
        <d v="2023-05-02T00:00:00"/>
        <d v="2023-05-25T00:00:00"/>
        <d v="2023-05-26T00:00:00"/>
        <d v="2023-06-17T00:00:00"/>
        <d v="2023-06-24T00:00:00"/>
        <d v="2023-07-06T00:00:00"/>
        <d v="2023-07-07T00:00:00"/>
        <d v="2023-07-24T00:00:00"/>
        <d v="2023-07-26T00:00:00"/>
        <d v="2023-07-31T00:00:00"/>
        <d v="2023-08-04T00:00:00"/>
        <d v="2023-08-17T00:00:00"/>
        <d v="2023-09-09T00:00:00"/>
        <d v="2023-09-11T00:00:00"/>
        <d v="2023-09-30T00:00:00"/>
        <d v="2023-10-14T00:00:00"/>
        <d v="2023-10-16T00:00:00"/>
        <d v="2023-10-25T00:00:00"/>
        <d v="2023-10-31T00:00:00"/>
        <d v="2023-11-03T00:00:00"/>
        <d v="2023-11-30T00:00:00"/>
        <d v="2023-12-03T00:00:00"/>
        <d v="2023-12-09T00:00:00"/>
        <d v="2024-01-08T00:00:00"/>
        <d v="2024-01-16T00:00:00"/>
        <d v="2024-01-22T00:00:00"/>
        <d v="2024-01-24T00:00:00"/>
        <d v="2024-01-31T00:00:00"/>
        <d v="2024-02-08T00:00:00"/>
        <d v="2024-02-09T00:00:00"/>
        <d v="2024-02-11T00:00:00"/>
        <d v="2024-02-16T00:00:00"/>
        <d v="2024-02-21T00:00:00"/>
        <d v="2024-02-23T00:00:00"/>
        <d v="2024-02-27T00:00:00"/>
        <d v="2024-02-28T00:00:00"/>
        <d v="2024-03-02T00:00:00"/>
        <d v="2024-03-17T00:00:00"/>
        <d v="2024-03-22T00:00:00"/>
        <d v="2024-03-24T00:00:00"/>
        <d v="2024-04-09T00:00:00"/>
        <d v="2024-04-17T00:00:00"/>
        <d v="2024-04-28T00:00:00"/>
        <d v="2024-05-04T00:00:00"/>
        <d v="2024-05-13T00:00:00"/>
        <d v="2024-05-25T00:00:00"/>
        <d v="2024-06-13T00:00:00"/>
        <d v="2024-06-16T00:00:00"/>
        <d v="2024-06-18T00:00:00"/>
        <d v="2024-06-23T00:00:00"/>
        <d v="2024-06-27T00:00:00"/>
        <d v="2024-06-28T00:00:00"/>
        <d v="2024-07-01T00:00:00"/>
        <d v="2024-07-03T00:00:00"/>
        <d v="2024-07-11T00:00:00"/>
        <d v="2024-08-02T00:00:00"/>
        <d v="2024-08-09T00:00:00"/>
        <d v="2024-08-14T00:00:00"/>
        <d v="2024-08-22T00:00:00"/>
        <d v="2024-08-26T00:00:00"/>
        <d v="2024-08-29T00:00:00"/>
        <d v="2024-08-30T00:00:00"/>
        <d v="2024-09-25T00:00:00"/>
        <d v="2024-09-27T00:00:00"/>
        <d v="2024-10-01T00:00:00"/>
        <d v="2024-10-06T00:00:00"/>
        <d v="2024-10-16T00:00:00"/>
        <d v="2024-10-23T00:00:00"/>
        <d v="2024-10-25T00:00:00"/>
        <d v="2024-10-28T00:00:00"/>
        <d v="2024-11-02T00:00:00"/>
        <d v="2024-11-09T00:00:00"/>
      </sharedItems>
    </cacheField>
    <cacheField name="Dietary Preference" numFmtId="0">
      <sharedItems/>
    </cacheField>
    <cacheField name="Registration Month" numFmtId="166">
      <sharedItems containsSemiMixedTypes="0" containsNonDate="0" containsDate="1" containsString="0" minDate="2022-11-01T00:00:00" maxDate="2024-11-02T00:00:00" count="25">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sharedItems>
    </cacheField>
  </cacheFields>
  <extLst>
    <ext xmlns:x14="http://schemas.microsoft.com/office/spreadsheetml/2009/9/main" uri="{725AE2AE-9491-48be-B2B4-4EB974FC3084}">
      <x14:pivotCacheDefinition pivotCacheId="2048228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001"/>
    <s v="Participant 1"/>
    <s v="Participant1@example.com"/>
    <s v="555-0001"/>
    <x v="0"/>
    <x v="0"/>
    <n v="450"/>
    <x v="0"/>
    <s v="Not provided"/>
    <x v="0"/>
  </r>
  <r>
    <s v="A002"/>
    <s v="Participant 2"/>
    <s v="Participant2@example.com"/>
    <s v="555-0002"/>
    <x v="1"/>
    <x v="0"/>
    <n v="450"/>
    <x v="1"/>
    <s v="Not provided"/>
    <x v="1"/>
  </r>
  <r>
    <s v="A003"/>
    <s v="Participant 3"/>
    <s v="Participant3@example.com"/>
    <s v="555-0003"/>
    <x v="0"/>
    <x v="1"/>
    <n v="700"/>
    <x v="2"/>
    <s v="Not provided"/>
    <x v="1"/>
  </r>
  <r>
    <s v="A004"/>
    <s v="Participant 4"/>
    <s v="Participant4@example.com"/>
    <s v="555-0004"/>
    <x v="1"/>
    <x v="2"/>
    <n v="300"/>
    <x v="3"/>
    <s v="Not provided"/>
    <x v="1"/>
  </r>
  <r>
    <s v="A005"/>
    <s v="Participant 5"/>
    <s v="Participant5@example.com"/>
    <s v="555-0005"/>
    <x v="0"/>
    <x v="0"/>
    <n v="450"/>
    <x v="4"/>
    <s v="Not provided"/>
    <x v="1"/>
  </r>
  <r>
    <s v="A006"/>
    <s v="Participant 6"/>
    <s v="Participant6@example.com"/>
    <s v="555-0006"/>
    <x v="1"/>
    <x v="1"/>
    <n v="700"/>
    <x v="5"/>
    <s v="Not provided"/>
    <x v="2"/>
  </r>
  <r>
    <s v="A007"/>
    <s v="Participant 7"/>
    <s v="Participant7@example.com"/>
    <s v="555-0007"/>
    <x v="0"/>
    <x v="2"/>
    <n v="300"/>
    <x v="6"/>
    <s v="Not provided"/>
    <x v="2"/>
  </r>
  <r>
    <s v="A008"/>
    <s v="Participant 8"/>
    <s v="Participant8@example.com"/>
    <s v="555-0008"/>
    <x v="1"/>
    <x v="0"/>
    <n v="450"/>
    <x v="7"/>
    <s v="Not provided"/>
    <x v="2"/>
  </r>
  <r>
    <s v="A009"/>
    <s v="Participant 9"/>
    <s v="Participant9@example.com"/>
    <s v="555-0009"/>
    <x v="0"/>
    <x v="1"/>
    <n v="700"/>
    <x v="8"/>
    <s v="Not provided"/>
    <x v="3"/>
  </r>
  <r>
    <s v="A010"/>
    <s v="Participant 10"/>
    <s v="Participant10@example.com"/>
    <s v="555-0010"/>
    <x v="1"/>
    <x v="2"/>
    <n v="300"/>
    <x v="9"/>
    <s v="Not provided"/>
    <x v="3"/>
  </r>
  <r>
    <s v="A011"/>
    <s v="Participant 11"/>
    <s v="Participant11@example.com"/>
    <s v="555-0011"/>
    <x v="0"/>
    <x v="0"/>
    <n v="450"/>
    <x v="10"/>
    <s v="Not provided"/>
    <x v="3"/>
  </r>
  <r>
    <s v="A012"/>
    <s v="Participant 12"/>
    <s v="Participant12@example.com"/>
    <s v="555-0012"/>
    <x v="1"/>
    <x v="1"/>
    <n v="700"/>
    <x v="11"/>
    <s v="Not provided"/>
    <x v="3"/>
  </r>
  <r>
    <s v="A013"/>
    <s v="Participant 13"/>
    <s v="Participant13@example.com"/>
    <s v="555-0013"/>
    <x v="0"/>
    <x v="2"/>
    <n v="300"/>
    <x v="12"/>
    <s v="Not provided"/>
    <x v="3"/>
  </r>
  <r>
    <s v="A014"/>
    <s v="Participant 14"/>
    <s v="Participant14@example.com"/>
    <s v="555-0014"/>
    <x v="1"/>
    <x v="0"/>
    <n v="450"/>
    <x v="13"/>
    <s v="Not provided"/>
    <x v="3"/>
  </r>
  <r>
    <s v="A015"/>
    <s v="Participant 15"/>
    <s v="Participant15@example.com"/>
    <s v="555-0015"/>
    <x v="0"/>
    <x v="1"/>
    <n v="700"/>
    <x v="14"/>
    <s v="Not provided"/>
    <x v="3"/>
  </r>
  <r>
    <s v="A016"/>
    <s v="Participant 16"/>
    <s v="Participant16@example.com"/>
    <s v="555-0016"/>
    <x v="1"/>
    <x v="2"/>
    <n v="300"/>
    <x v="15"/>
    <s v="Not provided"/>
    <x v="3"/>
  </r>
  <r>
    <s v="A017"/>
    <s v="Participant 17"/>
    <s v="Participant17@example.com"/>
    <s v="555-0017"/>
    <x v="0"/>
    <x v="0"/>
    <n v="450"/>
    <x v="16"/>
    <s v="Not provided"/>
    <x v="4"/>
  </r>
  <r>
    <s v="A018"/>
    <s v="Participant 18"/>
    <s v="Participant18@example.com"/>
    <s v="555-0018"/>
    <x v="1"/>
    <x v="1"/>
    <n v="700"/>
    <x v="17"/>
    <s v="Not provided"/>
    <x v="5"/>
  </r>
  <r>
    <s v="A019"/>
    <s v="Participant 19"/>
    <s v="Participant19@example.com"/>
    <s v="555-0019"/>
    <x v="0"/>
    <x v="2"/>
    <n v="300"/>
    <x v="18"/>
    <s v="Not provided"/>
    <x v="5"/>
  </r>
  <r>
    <s v="A020"/>
    <s v="Participant 20"/>
    <s v="Participant20@example.com"/>
    <s v="555-0020"/>
    <x v="1"/>
    <x v="0"/>
    <n v="450"/>
    <x v="19"/>
    <s v="Not provided"/>
    <x v="5"/>
  </r>
  <r>
    <s v="A021"/>
    <s v="Participant 21"/>
    <s v="Participant21@example.com"/>
    <s v="555-0021"/>
    <x v="0"/>
    <x v="1"/>
    <n v="700"/>
    <x v="20"/>
    <s v="Not provided"/>
    <x v="5"/>
  </r>
  <r>
    <s v="A022"/>
    <s v="Participant 22"/>
    <s v="Participant22@example.com"/>
    <s v="555-0022"/>
    <x v="1"/>
    <x v="2"/>
    <n v="300"/>
    <x v="21"/>
    <s v="Not provided"/>
    <x v="5"/>
  </r>
  <r>
    <s v="A023"/>
    <s v="Participant 23"/>
    <s v="Participant23@example.com"/>
    <s v="555-0023"/>
    <x v="0"/>
    <x v="0"/>
    <n v="450"/>
    <x v="22"/>
    <s v="Not provided"/>
    <x v="5"/>
  </r>
  <r>
    <s v="A024"/>
    <s v="Participant 24"/>
    <s v="Participant24@example.com"/>
    <s v="555-0024"/>
    <x v="1"/>
    <x v="1"/>
    <n v="700"/>
    <x v="23"/>
    <s v="Not provided"/>
    <x v="6"/>
  </r>
  <r>
    <s v="A025"/>
    <s v="Participant 25"/>
    <s v="Participant25@example.com"/>
    <s v="555-0025"/>
    <x v="0"/>
    <x v="2"/>
    <n v="300"/>
    <x v="24"/>
    <s v="Not provided"/>
    <x v="6"/>
  </r>
  <r>
    <s v="A026"/>
    <s v="Participant 26"/>
    <s v="Participant26@example.com"/>
    <s v="555-0026"/>
    <x v="1"/>
    <x v="0"/>
    <n v="450"/>
    <x v="25"/>
    <s v="Not provided"/>
    <x v="6"/>
  </r>
  <r>
    <s v="A027"/>
    <s v="Participant 27"/>
    <s v="Participant27@example.com"/>
    <s v="555-0027"/>
    <x v="0"/>
    <x v="1"/>
    <n v="700"/>
    <x v="26"/>
    <s v="Not provided"/>
    <x v="7"/>
  </r>
  <r>
    <s v="A028"/>
    <s v="Participant 28"/>
    <s v="Participant28@example.com"/>
    <s v="555-0028"/>
    <x v="1"/>
    <x v="2"/>
    <n v="300"/>
    <x v="27"/>
    <s v="Not provided"/>
    <x v="7"/>
  </r>
  <r>
    <s v="A029"/>
    <s v="Participant 29"/>
    <s v="Participant29@example.com"/>
    <s v="555-0029"/>
    <x v="0"/>
    <x v="0"/>
    <n v="450"/>
    <x v="28"/>
    <s v="Not provided"/>
    <x v="8"/>
  </r>
  <r>
    <s v="A030"/>
    <s v="Participant 30"/>
    <s v="Participant30@example.com"/>
    <s v="555-0030"/>
    <x v="1"/>
    <x v="1"/>
    <n v="700"/>
    <x v="29"/>
    <s v="Not provided"/>
    <x v="8"/>
  </r>
  <r>
    <s v="A031"/>
    <s v="Participant 31"/>
    <s v="Participant31@example.com"/>
    <s v="555-0031"/>
    <x v="0"/>
    <x v="2"/>
    <n v="300"/>
    <x v="30"/>
    <s v="Not provided"/>
    <x v="8"/>
  </r>
  <r>
    <s v="A032"/>
    <s v="Participant 32"/>
    <s v="Participant32@example.com"/>
    <s v="555-0032"/>
    <x v="1"/>
    <x v="0"/>
    <n v="450"/>
    <x v="31"/>
    <s v="Not provided"/>
    <x v="8"/>
  </r>
  <r>
    <s v="A033"/>
    <s v="Participant 33"/>
    <s v="Participant33@example.com"/>
    <s v="555-0033"/>
    <x v="0"/>
    <x v="1"/>
    <n v="700"/>
    <x v="32"/>
    <s v="Not provided"/>
    <x v="8"/>
  </r>
  <r>
    <s v="A034"/>
    <s v="Participant 34"/>
    <s v="Participant34@example.com"/>
    <s v="555-0034"/>
    <x v="1"/>
    <x v="2"/>
    <n v="300"/>
    <x v="33"/>
    <s v="Not provided"/>
    <x v="9"/>
  </r>
  <r>
    <s v="A035"/>
    <s v="Participant 35"/>
    <s v="Participant35@example.com"/>
    <s v="555-0035"/>
    <x v="0"/>
    <x v="0"/>
    <n v="450"/>
    <x v="34"/>
    <s v="Not provided"/>
    <x v="9"/>
  </r>
  <r>
    <s v="A036"/>
    <s v="Participant 36"/>
    <s v="Participant36@example.com"/>
    <s v="555-0036"/>
    <x v="1"/>
    <x v="1"/>
    <n v="700"/>
    <x v="34"/>
    <s v="Not provided"/>
    <x v="9"/>
  </r>
  <r>
    <s v="A037"/>
    <s v="Participant 37"/>
    <s v="Participant37@example.com"/>
    <s v="555-0037"/>
    <x v="0"/>
    <x v="2"/>
    <n v="300"/>
    <x v="35"/>
    <s v="Not provided"/>
    <x v="10"/>
  </r>
  <r>
    <s v="A038"/>
    <s v="Participant 38"/>
    <s v="Participant38@example.com"/>
    <s v="555-0038"/>
    <x v="1"/>
    <x v="0"/>
    <n v="450"/>
    <x v="36"/>
    <s v="Not provided"/>
    <x v="10"/>
  </r>
  <r>
    <s v="A039"/>
    <s v="Participant 39"/>
    <s v="Participant39@example.com"/>
    <s v="555-0039"/>
    <x v="0"/>
    <x v="1"/>
    <n v="700"/>
    <x v="37"/>
    <s v="Not provided"/>
    <x v="10"/>
  </r>
  <r>
    <s v="A040"/>
    <s v="Participant 40"/>
    <s v="Participant40@example.com"/>
    <s v="555-0040"/>
    <x v="1"/>
    <x v="2"/>
    <n v="300"/>
    <x v="38"/>
    <s v="Not provided"/>
    <x v="11"/>
  </r>
  <r>
    <s v="A041"/>
    <s v="Participant 41"/>
    <s v="Participant41@example.com"/>
    <s v="555-0041"/>
    <x v="0"/>
    <x v="0"/>
    <n v="450"/>
    <x v="39"/>
    <s v="Not provided"/>
    <x v="11"/>
  </r>
  <r>
    <s v="A042"/>
    <s v="Participant 42"/>
    <s v="Participant42@example.com"/>
    <s v="555-0042"/>
    <x v="1"/>
    <x v="1"/>
    <n v="700"/>
    <x v="40"/>
    <s v="Not provided"/>
    <x v="11"/>
  </r>
  <r>
    <s v="A043"/>
    <s v="Participant 43"/>
    <s v="Participant43@example.com"/>
    <s v="555-0043"/>
    <x v="0"/>
    <x v="2"/>
    <n v="300"/>
    <x v="41"/>
    <s v="Not provided"/>
    <x v="11"/>
  </r>
  <r>
    <s v="A044"/>
    <s v="Participant 44"/>
    <s v="Participant44@example.com"/>
    <s v="555-0044"/>
    <x v="1"/>
    <x v="0"/>
    <n v="450"/>
    <x v="42"/>
    <s v="Not provided"/>
    <x v="12"/>
  </r>
  <r>
    <s v="A045"/>
    <s v="Participant 45"/>
    <s v="Participant45@example.com"/>
    <s v="555-0045"/>
    <x v="0"/>
    <x v="1"/>
    <n v="700"/>
    <x v="43"/>
    <s v="Not provided"/>
    <x v="12"/>
  </r>
  <r>
    <s v="A046"/>
    <s v="Participant 46"/>
    <s v="Participant46@example.com"/>
    <s v="555-0046"/>
    <x v="1"/>
    <x v="2"/>
    <n v="300"/>
    <x v="44"/>
    <s v="Not provided"/>
    <x v="13"/>
  </r>
  <r>
    <s v="A047"/>
    <s v="Participant 47"/>
    <s v="Participant47@example.com"/>
    <s v="555-0047"/>
    <x v="0"/>
    <x v="0"/>
    <n v="450"/>
    <x v="45"/>
    <s v="Not provided"/>
    <x v="13"/>
  </r>
  <r>
    <s v="A048"/>
    <s v="Participant 48"/>
    <s v="Participant48@example.com"/>
    <s v="555-0048"/>
    <x v="1"/>
    <x v="1"/>
    <n v="700"/>
    <x v="46"/>
    <s v="Not provided"/>
    <x v="14"/>
  </r>
  <r>
    <s v="A049"/>
    <s v="Participant 49"/>
    <s v="Participant49@example.com"/>
    <s v="555-0049"/>
    <x v="0"/>
    <x v="2"/>
    <n v="300"/>
    <x v="47"/>
    <s v="Not provided"/>
    <x v="14"/>
  </r>
  <r>
    <s v="A050"/>
    <s v="Participant 50"/>
    <s v="Participant50@example.com"/>
    <s v="555-0050"/>
    <x v="1"/>
    <x v="0"/>
    <n v="450"/>
    <x v="48"/>
    <s v="Not provided"/>
    <x v="14"/>
  </r>
  <r>
    <s v="A051"/>
    <s v="Participant 51"/>
    <s v="Participant51@example.com"/>
    <s v="555-0051"/>
    <x v="0"/>
    <x v="1"/>
    <n v="700"/>
    <x v="48"/>
    <s v="Not provided"/>
    <x v="14"/>
  </r>
  <r>
    <s v="A052"/>
    <s v="Participant 52"/>
    <s v="Participant52@example.com"/>
    <s v="555-0052"/>
    <x v="1"/>
    <x v="2"/>
    <n v="300"/>
    <x v="49"/>
    <s v="Not provided"/>
    <x v="14"/>
  </r>
  <r>
    <s v="A053"/>
    <s v="Participant 53"/>
    <s v="Participant53@example.com"/>
    <s v="555-0053"/>
    <x v="0"/>
    <x v="0"/>
    <n v="450"/>
    <x v="50"/>
    <s v="Not provided"/>
    <x v="14"/>
  </r>
  <r>
    <s v="A054"/>
    <s v="Participant 54"/>
    <s v="Participant54@example.com"/>
    <s v="555-0054"/>
    <x v="1"/>
    <x v="1"/>
    <n v="700"/>
    <x v="50"/>
    <s v="Not provided"/>
    <x v="14"/>
  </r>
  <r>
    <s v="A055"/>
    <s v="Participant 55"/>
    <s v="Participant55@example.com"/>
    <s v="555-0055"/>
    <x v="0"/>
    <x v="2"/>
    <n v="300"/>
    <x v="51"/>
    <s v="Not provided"/>
    <x v="15"/>
  </r>
  <r>
    <s v="A056"/>
    <s v="Participant 56"/>
    <s v="Participant56@example.com"/>
    <s v="555-0056"/>
    <x v="1"/>
    <x v="0"/>
    <n v="450"/>
    <x v="52"/>
    <s v="Not provided"/>
    <x v="15"/>
  </r>
  <r>
    <s v="A057"/>
    <s v="Participant 57"/>
    <s v="Participant57@example.com"/>
    <s v="555-0057"/>
    <x v="0"/>
    <x v="1"/>
    <n v="700"/>
    <x v="53"/>
    <s v="Not provided"/>
    <x v="15"/>
  </r>
  <r>
    <s v="A058"/>
    <s v="Participant 58"/>
    <s v="Participant58@example.com"/>
    <s v="555-0058"/>
    <x v="1"/>
    <x v="2"/>
    <n v="300"/>
    <x v="54"/>
    <s v="Not provided"/>
    <x v="15"/>
  </r>
  <r>
    <s v="A059"/>
    <s v="Participant 59"/>
    <s v="Participant59@example.com"/>
    <s v="555-0059"/>
    <x v="0"/>
    <x v="0"/>
    <n v="450"/>
    <x v="55"/>
    <s v="Not provided"/>
    <x v="15"/>
  </r>
  <r>
    <s v="A060"/>
    <s v="Participant 60"/>
    <s v="Participant60@example.com"/>
    <s v="555-0060"/>
    <x v="1"/>
    <x v="1"/>
    <n v="700"/>
    <x v="56"/>
    <s v="Not provided"/>
    <x v="15"/>
  </r>
  <r>
    <s v="A061"/>
    <s v="Participant 61"/>
    <s v="Participant61@example.com"/>
    <s v="555-0061"/>
    <x v="0"/>
    <x v="2"/>
    <n v="300"/>
    <x v="57"/>
    <s v="Not provided"/>
    <x v="15"/>
  </r>
  <r>
    <s v="A062"/>
    <s v="Participant 62"/>
    <s v="Participant62@example.com"/>
    <s v="555-0062"/>
    <x v="1"/>
    <x v="0"/>
    <n v="450"/>
    <x v="58"/>
    <s v="Not provided"/>
    <x v="15"/>
  </r>
  <r>
    <s v="A063"/>
    <s v="Participant 63"/>
    <s v="Participant63@example.com"/>
    <s v="555-0063"/>
    <x v="0"/>
    <x v="1"/>
    <n v="700"/>
    <x v="58"/>
    <s v="Not provided"/>
    <x v="15"/>
  </r>
  <r>
    <s v="A064"/>
    <s v="Participant 64"/>
    <s v="Participant64@example.com"/>
    <s v="555-0064"/>
    <x v="1"/>
    <x v="2"/>
    <n v="300"/>
    <x v="59"/>
    <s v="Not provided"/>
    <x v="16"/>
  </r>
  <r>
    <s v="A065"/>
    <s v="Participant 65"/>
    <s v="Participant65@example.com"/>
    <s v="555-0065"/>
    <x v="0"/>
    <x v="0"/>
    <n v="450"/>
    <x v="59"/>
    <s v="Not provided"/>
    <x v="16"/>
  </r>
  <r>
    <s v="A066"/>
    <s v="Participant 66"/>
    <s v="Participant66@example.com"/>
    <s v="555-0066"/>
    <x v="1"/>
    <x v="1"/>
    <n v="700"/>
    <x v="60"/>
    <s v="Not provided"/>
    <x v="16"/>
  </r>
  <r>
    <s v="A067"/>
    <s v="Participant 67"/>
    <s v="Participant67@example.com"/>
    <s v="555-0067"/>
    <x v="0"/>
    <x v="2"/>
    <n v="300"/>
    <x v="61"/>
    <s v="Not provided"/>
    <x v="16"/>
  </r>
  <r>
    <s v="A068"/>
    <s v="Participant 68"/>
    <s v="Participant68@example.com"/>
    <s v="555-0068"/>
    <x v="1"/>
    <x v="0"/>
    <n v="450"/>
    <x v="62"/>
    <s v="Not provided"/>
    <x v="16"/>
  </r>
  <r>
    <s v="A069"/>
    <s v="Participant 69"/>
    <s v="Participant69@example.com"/>
    <s v="555-0069"/>
    <x v="0"/>
    <x v="1"/>
    <n v="700"/>
    <x v="63"/>
    <s v="Not provided"/>
    <x v="17"/>
  </r>
  <r>
    <s v="A070"/>
    <s v="Participant 70"/>
    <s v="Participant70@example.com"/>
    <s v="555-0070"/>
    <x v="1"/>
    <x v="2"/>
    <n v="300"/>
    <x v="64"/>
    <s v="Not provided"/>
    <x v="17"/>
  </r>
  <r>
    <s v="A071"/>
    <s v="Participant 71"/>
    <s v="Participant71@example.com"/>
    <s v="555-0071"/>
    <x v="0"/>
    <x v="0"/>
    <n v="450"/>
    <x v="65"/>
    <s v="Not provided"/>
    <x v="17"/>
  </r>
  <r>
    <s v="A072"/>
    <s v="Participant 72"/>
    <s v="Participant72@example.com"/>
    <s v="555-0072"/>
    <x v="1"/>
    <x v="1"/>
    <n v="700"/>
    <x v="66"/>
    <s v="Not provided"/>
    <x v="18"/>
  </r>
  <r>
    <s v="A073"/>
    <s v="Participant 73"/>
    <s v="Participant73@example.com"/>
    <s v="555-0073"/>
    <x v="0"/>
    <x v="2"/>
    <n v="300"/>
    <x v="67"/>
    <s v="Not provided"/>
    <x v="18"/>
  </r>
  <r>
    <s v="A074"/>
    <s v="Participant 74"/>
    <s v="Participant74@example.com"/>
    <s v="555-0074"/>
    <x v="1"/>
    <x v="0"/>
    <n v="450"/>
    <x v="68"/>
    <s v="Not provided"/>
    <x v="18"/>
  </r>
  <r>
    <s v="A075"/>
    <s v="Participant 75"/>
    <s v="Participant75@example.com"/>
    <s v="555-0075"/>
    <x v="0"/>
    <x v="1"/>
    <n v="700"/>
    <x v="69"/>
    <s v="Not provided"/>
    <x v="19"/>
  </r>
  <r>
    <s v="A076"/>
    <s v="Participant 76"/>
    <s v="Participant76@example.com"/>
    <s v="555-0076"/>
    <x v="1"/>
    <x v="2"/>
    <n v="300"/>
    <x v="70"/>
    <s v="Not provided"/>
    <x v="19"/>
  </r>
  <r>
    <s v="A077"/>
    <s v="Participant 77"/>
    <s v="Participant77@example.com"/>
    <s v="555-0077"/>
    <x v="0"/>
    <x v="0"/>
    <n v="450"/>
    <x v="71"/>
    <s v="Not provided"/>
    <x v="19"/>
  </r>
  <r>
    <s v="A078"/>
    <s v="Participant 78"/>
    <s v="Participant78@example.com"/>
    <s v="555-0078"/>
    <x v="1"/>
    <x v="1"/>
    <n v="700"/>
    <x v="72"/>
    <s v="Not provided"/>
    <x v="19"/>
  </r>
  <r>
    <s v="A079"/>
    <s v="Participant 79"/>
    <s v="Participant79@example.com"/>
    <s v="555-0079"/>
    <x v="0"/>
    <x v="2"/>
    <n v="300"/>
    <x v="73"/>
    <s v="Not provided"/>
    <x v="19"/>
  </r>
  <r>
    <s v="A080"/>
    <s v="Participant 80"/>
    <s v="Participant80@example.com"/>
    <s v="555-0080"/>
    <x v="1"/>
    <x v="0"/>
    <n v="450"/>
    <x v="74"/>
    <s v="Not provided"/>
    <x v="19"/>
  </r>
  <r>
    <s v="A081"/>
    <s v="Participant 81"/>
    <s v="Participant81@example.com"/>
    <s v="555-0081"/>
    <x v="0"/>
    <x v="1"/>
    <n v="700"/>
    <x v="75"/>
    <s v="Not provided"/>
    <x v="20"/>
  </r>
  <r>
    <s v="A082"/>
    <s v="Participant 82"/>
    <s v="Participant82@example.com"/>
    <s v="555-0082"/>
    <x v="1"/>
    <x v="2"/>
    <n v="300"/>
    <x v="76"/>
    <s v="Not provided"/>
    <x v="20"/>
  </r>
  <r>
    <s v="A083"/>
    <s v="Participant 83"/>
    <s v="Participant83@example.com"/>
    <s v="555-0083"/>
    <x v="0"/>
    <x v="0"/>
    <n v="450"/>
    <x v="77"/>
    <s v="Not provided"/>
    <x v="20"/>
  </r>
  <r>
    <s v="A084"/>
    <s v="Participant 84"/>
    <s v="Participant84@example.com"/>
    <s v="555-0084"/>
    <x v="1"/>
    <x v="1"/>
    <n v="700"/>
    <x v="78"/>
    <s v="Not provided"/>
    <x v="21"/>
  </r>
  <r>
    <s v="A085"/>
    <s v="Participant 85"/>
    <s v="Participant85@example.com"/>
    <s v="555-0085"/>
    <x v="0"/>
    <x v="2"/>
    <n v="300"/>
    <x v="79"/>
    <s v="Not provided"/>
    <x v="21"/>
  </r>
  <r>
    <s v="A086"/>
    <s v="Participant 86"/>
    <s v="Participant86@example.com"/>
    <s v="555-0086"/>
    <x v="1"/>
    <x v="0"/>
    <n v="450"/>
    <x v="80"/>
    <s v="Not provided"/>
    <x v="21"/>
  </r>
  <r>
    <s v="A087"/>
    <s v="Participant 87"/>
    <s v="Participant87@example.com"/>
    <s v="555-0087"/>
    <x v="0"/>
    <x v="1"/>
    <n v="700"/>
    <x v="81"/>
    <s v="Not provided"/>
    <x v="21"/>
  </r>
  <r>
    <s v="A088"/>
    <s v="Participant 88"/>
    <s v="Participant88@example.com"/>
    <s v="555-0088"/>
    <x v="1"/>
    <x v="2"/>
    <n v="300"/>
    <x v="82"/>
    <s v="Not provided"/>
    <x v="21"/>
  </r>
  <r>
    <s v="A089"/>
    <s v="Participant 89"/>
    <s v="Participant89@example.com"/>
    <s v="555-0089"/>
    <x v="0"/>
    <x v="0"/>
    <n v="450"/>
    <x v="83"/>
    <s v="Not provided"/>
    <x v="21"/>
  </r>
  <r>
    <s v="A090"/>
    <s v="Participant 90"/>
    <s v="Participant90@example.com"/>
    <s v="555-0090"/>
    <x v="1"/>
    <x v="1"/>
    <n v="700"/>
    <x v="84"/>
    <s v="Not provided"/>
    <x v="21"/>
  </r>
  <r>
    <s v="A091"/>
    <s v="Participant 91"/>
    <s v="Participant91@example.com"/>
    <s v="555-0091"/>
    <x v="0"/>
    <x v="2"/>
    <n v="300"/>
    <x v="85"/>
    <s v="Not provided"/>
    <x v="22"/>
  </r>
  <r>
    <s v="A092"/>
    <s v="Participant 92"/>
    <s v="Participant92@example.com"/>
    <s v="555-0092"/>
    <x v="1"/>
    <x v="0"/>
    <n v="450"/>
    <x v="86"/>
    <s v="Not provided"/>
    <x v="22"/>
  </r>
  <r>
    <s v="A093"/>
    <s v="Participant 93"/>
    <s v="Participant93@example.com"/>
    <s v="555-0093"/>
    <x v="0"/>
    <x v="1"/>
    <n v="700"/>
    <x v="87"/>
    <s v="Not provided"/>
    <x v="23"/>
  </r>
  <r>
    <s v="A094"/>
    <s v="Participant 94"/>
    <s v="Participant94@example.com"/>
    <s v="555-0094"/>
    <x v="1"/>
    <x v="2"/>
    <n v="300"/>
    <x v="88"/>
    <s v="Not provided"/>
    <x v="23"/>
  </r>
  <r>
    <s v="A095"/>
    <s v="Participant 95"/>
    <s v="Participant95@example.com"/>
    <s v="555-0095"/>
    <x v="0"/>
    <x v="0"/>
    <n v="450"/>
    <x v="89"/>
    <s v="Not provided"/>
    <x v="23"/>
  </r>
  <r>
    <s v="A096"/>
    <s v="Participant 96"/>
    <s v="Participant96@example.com"/>
    <s v="555-0096"/>
    <x v="1"/>
    <x v="1"/>
    <n v="700"/>
    <x v="90"/>
    <s v="Not provided"/>
    <x v="23"/>
  </r>
  <r>
    <s v="A097"/>
    <s v="Participant 97"/>
    <s v="Participant97@example.com"/>
    <s v="555-0097"/>
    <x v="0"/>
    <x v="2"/>
    <n v="300"/>
    <x v="91"/>
    <s v="Not provided"/>
    <x v="23"/>
  </r>
  <r>
    <s v="A098"/>
    <s v="Participant 98"/>
    <s v="Participant98@example.com"/>
    <s v="555-0098"/>
    <x v="1"/>
    <x v="0"/>
    <n v="450"/>
    <x v="92"/>
    <s v="Not provided"/>
    <x v="23"/>
  </r>
  <r>
    <s v="A099"/>
    <s v="Participant 99"/>
    <s v="Participant99@example.com"/>
    <s v="555-0099"/>
    <x v="0"/>
    <x v="1"/>
    <n v="700"/>
    <x v="93"/>
    <s v="Not provided"/>
    <x v="24"/>
  </r>
  <r>
    <s v="A100"/>
    <s v="Participant 100"/>
    <s v="Participant100@example.com"/>
    <s v="555-0100"/>
    <x v="1"/>
    <x v="2"/>
    <n v="300"/>
    <x v="94"/>
    <s v="Not provided"/>
    <x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001"/>
    <s v="Participant 1"/>
    <s v="Participant1@example.com"/>
    <s v="555-0001"/>
    <x v="0"/>
    <x v="0"/>
    <n v="450"/>
    <x v="0"/>
    <s v="Not provided"/>
    <x v="0"/>
  </r>
  <r>
    <s v="A002"/>
    <s v="Participant 2"/>
    <s v="Participant2@example.com"/>
    <s v="555-0002"/>
    <x v="1"/>
    <x v="0"/>
    <n v="450"/>
    <x v="1"/>
    <s v="Not provided"/>
    <x v="1"/>
  </r>
  <r>
    <s v="A003"/>
    <s v="Participant 3"/>
    <s v="Participant3@example.com"/>
    <s v="555-0003"/>
    <x v="0"/>
    <x v="1"/>
    <n v="700"/>
    <x v="2"/>
    <s v="Not provided"/>
    <x v="1"/>
  </r>
  <r>
    <s v="A004"/>
    <s v="Participant 4"/>
    <s v="Participant4@example.com"/>
    <s v="555-0004"/>
    <x v="1"/>
    <x v="2"/>
    <n v="300"/>
    <x v="3"/>
    <s v="Not provided"/>
    <x v="1"/>
  </r>
  <r>
    <s v="A005"/>
    <s v="Participant 5"/>
    <s v="Participant5@example.com"/>
    <s v="555-0005"/>
    <x v="0"/>
    <x v="0"/>
    <n v="450"/>
    <x v="4"/>
    <s v="Not provided"/>
    <x v="1"/>
  </r>
  <r>
    <s v="A006"/>
    <s v="Participant 6"/>
    <s v="Participant6@example.com"/>
    <s v="555-0006"/>
    <x v="1"/>
    <x v="1"/>
    <n v="700"/>
    <x v="5"/>
    <s v="Not provided"/>
    <x v="2"/>
  </r>
  <r>
    <s v="A007"/>
    <s v="Participant 7"/>
    <s v="Participant7@example.com"/>
    <s v="555-0007"/>
    <x v="0"/>
    <x v="2"/>
    <n v="300"/>
    <x v="6"/>
    <s v="Not provided"/>
    <x v="2"/>
  </r>
  <r>
    <s v="A008"/>
    <s v="Participant 8"/>
    <s v="Participant8@example.com"/>
    <s v="555-0008"/>
    <x v="1"/>
    <x v="0"/>
    <n v="450"/>
    <x v="7"/>
    <s v="Not provided"/>
    <x v="2"/>
  </r>
  <r>
    <s v="A009"/>
    <s v="Participant 9"/>
    <s v="Participant9@example.com"/>
    <s v="555-0009"/>
    <x v="0"/>
    <x v="1"/>
    <n v="700"/>
    <x v="8"/>
    <s v="Not provided"/>
    <x v="3"/>
  </r>
  <r>
    <s v="A010"/>
    <s v="Participant 10"/>
    <s v="Participant10@example.com"/>
    <s v="555-0010"/>
    <x v="1"/>
    <x v="2"/>
    <n v="300"/>
    <x v="9"/>
    <s v="Not provided"/>
    <x v="3"/>
  </r>
  <r>
    <s v="A011"/>
    <s v="Participant 11"/>
    <s v="Participant11@example.com"/>
    <s v="555-0011"/>
    <x v="0"/>
    <x v="0"/>
    <n v="450"/>
    <x v="10"/>
    <s v="Not provided"/>
    <x v="3"/>
  </r>
  <r>
    <s v="A012"/>
    <s v="Participant 12"/>
    <s v="Participant12@example.com"/>
    <s v="555-0012"/>
    <x v="1"/>
    <x v="1"/>
    <n v="700"/>
    <x v="11"/>
    <s v="Not provided"/>
    <x v="3"/>
  </r>
  <r>
    <s v="A013"/>
    <s v="Participant 13"/>
    <s v="Participant13@example.com"/>
    <s v="555-0013"/>
    <x v="0"/>
    <x v="2"/>
    <n v="300"/>
    <x v="12"/>
    <s v="Not provided"/>
    <x v="3"/>
  </r>
  <r>
    <s v="A014"/>
    <s v="Participant 14"/>
    <s v="Participant14@example.com"/>
    <s v="555-0014"/>
    <x v="1"/>
    <x v="0"/>
    <n v="450"/>
    <x v="13"/>
    <s v="Not provided"/>
    <x v="3"/>
  </r>
  <r>
    <s v="A015"/>
    <s v="Participant 15"/>
    <s v="Participant15@example.com"/>
    <s v="555-0015"/>
    <x v="0"/>
    <x v="1"/>
    <n v="700"/>
    <x v="14"/>
    <s v="Not provided"/>
    <x v="3"/>
  </r>
  <r>
    <s v="A016"/>
    <s v="Participant 16"/>
    <s v="Participant16@example.com"/>
    <s v="555-0016"/>
    <x v="1"/>
    <x v="2"/>
    <n v="300"/>
    <x v="15"/>
    <s v="Not provided"/>
    <x v="3"/>
  </r>
  <r>
    <s v="A017"/>
    <s v="Participant 17"/>
    <s v="Participant17@example.com"/>
    <s v="555-0017"/>
    <x v="0"/>
    <x v="0"/>
    <n v="450"/>
    <x v="16"/>
    <s v="Not provided"/>
    <x v="4"/>
  </r>
  <r>
    <s v="A018"/>
    <s v="Participant 18"/>
    <s v="Participant18@example.com"/>
    <s v="555-0018"/>
    <x v="1"/>
    <x v="1"/>
    <n v="700"/>
    <x v="17"/>
    <s v="Not provided"/>
    <x v="5"/>
  </r>
  <r>
    <s v="A019"/>
    <s v="Participant 19"/>
    <s v="Participant19@example.com"/>
    <s v="555-0019"/>
    <x v="0"/>
    <x v="2"/>
    <n v="300"/>
    <x v="18"/>
    <s v="Not provided"/>
    <x v="5"/>
  </r>
  <r>
    <s v="A020"/>
    <s v="Participant 20"/>
    <s v="Participant20@example.com"/>
    <s v="555-0020"/>
    <x v="1"/>
    <x v="0"/>
    <n v="450"/>
    <x v="19"/>
    <s v="Not provided"/>
    <x v="5"/>
  </r>
  <r>
    <s v="A021"/>
    <s v="Participant 21"/>
    <s v="Participant21@example.com"/>
    <s v="555-0021"/>
    <x v="0"/>
    <x v="1"/>
    <n v="700"/>
    <x v="20"/>
    <s v="Not provided"/>
    <x v="5"/>
  </r>
  <r>
    <s v="A022"/>
    <s v="Participant 22"/>
    <s v="Participant22@example.com"/>
    <s v="555-0022"/>
    <x v="1"/>
    <x v="2"/>
    <n v="300"/>
    <x v="21"/>
    <s v="Not provided"/>
    <x v="5"/>
  </r>
  <r>
    <s v="A023"/>
    <s v="Participant 23"/>
    <s v="Participant23@example.com"/>
    <s v="555-0023"/>
    <x v="0"/>
    <x v="0"/>
    <n v="450"/>
    <x v="22"/>
    <s v="Not provided"/>
    <x v="5"/>
  </r>
  <r>
    <s v="A024"/>
    <s v="Participant 24"/>
    <s v="Participant24@example.com"/>
    <s v="555-0024"/>
    <x v="1"/>
    <x v="1"/>
    <n v="700"/>
    <x v="23"/>
    <s v="Not provided"/>
    <x v="6"/>
  </r>
  <r>
    <s v="A025"/>
    <s v="Participant 25"/>
    <s v="Participant25@example.com"/>
    <s v="555-0025"/>
    <x v="0"/>
    <x v="2"/>
    <n v="300"/>
    <x v="24"/>
    <s v="Not provided"/>
    <x v="6"/>
  </r>
  <r>
    <s v="A026"/>
    <s v="Participant 26"/>
    <s v="Participant26@example.com"/>
    <s v="555-0026"/>
    <x v="1"/>
    <x v="0"/>
    <n v="450"/>
    <x v="25"/>
    <s v="Not provided"/>
    <x v="6"/>
  </r>
  <r>
    <s v="A027"/>
    <s v="Participant 27"/>
    <s v="Participant27@example.com"/>
    <s v="555-0027"/>
    <x v="0"/>
    <x v="1"/>
    <n v="700"/>
    <x v="26"/>
    <s v="Not provided"/>
    <x v="7"/>
  </r>
  <r>
    <s v="A028"/>
    <s v="Participant 28"/>
    <s v="Participant28@example.com"/>
    <s v="555-0028"/>
    <x v="1"/>
    <x v="2"/>
    <n v="300"/>
    <x v="27"/>
    <s v="Not provided"/>
    <x v="7"/>
  </r>
  <r>
    <s v="A029"/>
    <s v="Participant 29"/>
    <s v="Participant29@example.com"/>
    <s v="555-0029"/>
    <x v="0"/>
    <x v="0"/>
    <n v="450"/>
    <x v="28"/>
    <s v="Not provided"/>
    <x v="8"/>
  </r>
  <r>
    <s v="A030"/>
    <s v="Participant 30"/>
    <s v="Participant30@example.com"/>
    <s v="555-0030"/>
    <x v="1"/>
    <x v="1"/>
    <n v="700"/>
    <x v="29"/>
    <s v="Not provided"/>
    <x v="8"/>
  </r>
  <r>
    <s v="A031"/>
    <s v="Participant 31"/>
    <s v="Participant31@example.com"/>
    <s v="555-0031"/>
    <x v="0"/>
    <x v="2"/>
    <n v="300"/>
    <x v="30"/>
    <s v="Not provided"/>
    <x v="8"/>
  </r>
  <r>
    <s v="A032"/>
    <s v="Participant 32"/>
    <s v="Participant32@example.com"/>
    <s v="555-0032"/>
    <x v="1"/>
    <x v="0"/>
    <n v="450"/>
    <x v="31"/>
    <s v="Not provided"/>
    <x v="8"/>
  </r>
  <r>
    <s v="A033"/>
    <s v="Participant 33"/>
    <s v="Participant33@example.com"/>
    <s v="555-0033"/>
    <x v="0"/>
    <x v="1"/>
    <n v="700"/>
    <x v="32"/>
    <s v="Not provided"/>
    <x v="8"/>
  </r>
  <r>
    <s v="A034"/>
    <s v="Participant 34"/>
    <s v="Participant34@example.com"/>
    <s v="555-0034"/>
    <x v="1"/>
    <x v="2"/>
    <n v="300"/>
    <x v="33"/>
    <s v="Not provided"/>
    <x v="9"/>
  </r>
  <r>
    <s v="A035"/>
    <s v="Participant 35"/>
    <s v="Participant35@example.com"/>
    <s v="555-0035"/>
    <x v="0"/>
    <x v="0"/>
    <n v="450"/>
    <x v="34"/>
    <s v="Not provided"/>
    <x v="9"/>
  </r>
  <r>
    <s v="A036"/>
    <s v="Participant 36"/>
    <s v="Participant36@example.com"/>
    <s v="555-0036"/>
    <x v="1"/>
    <x v="1"/>
    <n v="700"/>
    <x v="34"/>
    <s v="Not provided"/>
    <x v="9"/>
  </r>
  <r>
    <s v="A037"/>
    <s v="Participant 37"/>
    <s v="Participant37@example.com"/>
    <s v="555-0037"/>
    <x v="0"/>
    <x v="2"/>
    <n v="300"/>
    <x v="35"/>
    <s v="Not provided"/>
    <x v="10"/>
  </r>
  <r>
    <s v="A038"/>
    <s v="Participant 38"/>
    <s v="Participant38@example.com"/>
    <s v="555-0038"/>
    <x v="1"/>
    <x v="0"/>
    <n v="450"/>
    <x v="36"/>
    <s v="Not provided"/>
    <x v="10"/>
  </r>
  <r>
    <s v="A039"/>
    <s v="Participant 39"/>
    <s v="Participant39@example.com"/>
    <s v="555-0039"/>
    <x v="0"/>
    <x v="1"/>
    <n v="700"/>
    <x v="37"/>
    <s v="Not provided"/>
    <x v="10"/>
  </r>
  <r>
    <s v="A040"/>
    <s v="Participant 40"/>
    <s v="Participant40@example.com"/>
    <s v="555-0040"/>
    <x v="1"/>
    <x v="2"/>
    <n v="300"/>
    <x v="38"/>
    <s v="Not provided"/>
    <x v="11"/>
  </r>
  <r>
    <s v="A041"/>
    <s v="Participant 41"/>
    <s v="Participant41@example.com"/>
    <s v="555-0041"/>
    <x v="0"/>
    <x v="0"/>
    <n v="450"/>
    <x v="39"/>
    <s v="Not provided"/>
    <x v="11"/>
  </r>
  <r>
    <s v="A042"/>
    <s v="Participant 42"/>
    <s v="Participant42@example.com"/>
    <s v="555-0042"/>
    <x v="1"/>
    <x v="1"/>
    <n v="700"/>
    <x v="40"/>
    <s v="Not provided"/>
    <x v="11"/>
  </r>
  <r>
    <s v="A043"/>
    <s v="Participant 43"/>
    <s v="Participant43@example.com"/>
    <s v="555-0043"/>
    <x v="0"/>
    <x v="2"/>
    <n v="300"/>
    <x v="41"/>
    <s v="Not provided"/>
    <x v="11"/>
  </r>
  <r>
    <s v="A044"/>
    <s v="Participant 44"/>
    <s v="Participant44@example.com"/>
    <s v="555-0044"/>
    <x v="1"/>
    <x v="0"/>
    <n v="450"/>
    <x v="42"/>
    <s v="Not provided"/>
    <x v="12"/>
  </r>
  <r>
    <s v="A045"/>
    <s v="Participant 45"/>
    <s v="Participant45@example.com"/>
    <s v="555-0045"/>
    <x v="0"/>
    <x v="1"/>
    <n v="700"/>
    <x v="43"/>
    <s v="Not provided"/>
    <x v="12"/>
  </r>
  <r>
    <s v="A046"/>
    <s v="Participant 46"/>
    <s v="Participant46@example.com"/>
    <s v="555-0046"/>
    <x v="1"/>
    <x v="2"/>
    <n v="300"/>
    <x v="44"/>
    <s v="Not provided"/>
    <x v="13"/>
  </r>
  <r>
    <s v="A047"/>
    <s v="Participant 47"/>
    <s v="Participant47@example.com"/>
    <s v="555-0047"/>
    <x v="0"/>
    <x v="0"/>
    <n v="450"/>
    <x v="45"/>
    <s v="Not provided"/>
    <x v="13"/>
  </r>
  <r>
    <s v="A048"/>
    <s v="Participant 48"/>
    <s v="Participant48@example.com"/>
    <s v="555-0048"/>
    <x v="1"/>
    <x v="1"/>
    <n v="700"/>
    <x v="46"/>
    <s v="Not provided"/>
    <x v="14"/>
  </r>
  <r>
    <s v="A049"/>
    <s v="Participant 49"/>
    <s v="Participant49@example.com"/>
    <s v="555-0049"/>
    <x v="0"/>
    <x v="2"/>
    <n v="300"/>
    <x v="47"/>
    <s v="Not provided"/>
    <x v="14"/>
  </r>
  <r>
    <s v="A050"/>
    <s v="Participant 50"/>
    <s v="Participant50@example.com"/>
    <s v="555-0050"/>
    <x v="1"/>
    <x v="0"/>
    <n v="450"/>
    <x v="48"/>
    <s v="Not provided"/>
    <x v="14"/>
  </r>
  <r>
    <s v="A051"/>
    <s v="Participant 51"/>
    <s v="Participant51@example.com"/>
    <s v="555-0051"/>
    <x v="0"/>
    <x v="1"/>
    <n v="700"/>
    <x v="48"/>
    <s v="Not provided"/>
    <x v="14"/>
  </r>
  <r>
    <s v="A052"/>
    <s v="Participant 52"/>
    <s v="Participant52@example.com"/>
    <s v="555-0052"/>
    <x v="1"/>
    <x v="2"/>
    <n v="300"/>
    <x v="49"/>
    <s v="Not provided"/>
    <x v="14"/>
  </r>
  <r>
    <s v="A053"/>
    <s v="Participant 53"/>
    <s v="Participant53@example.com"/>
    <s v="555-0053"/>
    <x v="0"/>
    <x v="0"/>
    <n v="450"/>
    <x v="50"/>
    <s v="Not provided"/>
    <x v="14"/>
  </r>
  <r>
    <s v="A054"/>
    <s v="Participant 54"/>
    <s v="Participant54@example.com"/>
    <s v="555-0054"/>
    <x v="1"/>
    <x v="1"/>
    <n v="700"/>
    <x v="50"/>
    <s v="Not provided"/>
    <x v="14"/>
  </r>
  <r>
    <s v="A055"/>
    <s v="Participant 55"/>
    <s v="Participant55@example.com"/>
    <s v="555-0055"/>
    <x v="0"/>
    <x v="2"/>
    <n v="300"/>
    <x v="51"/>
    <s v="Not provided"/>
    <x v="15"/>
  </r>
  <r>
    <s v="A056"/>
    <s v="Participant 56"/>
    <s v="Participant56@example.com"/>
    <s v="555-0056"/>
    <x v="1"/>
    <x v="0"/>
    <n v="450"/>
    <x v="52"/>
    <s v="Not provided"/>
    <x v="15"/>
  </r>
  <r>
    <s v="A057"/>
    <s v="Participant 57"/>
    <s v="Participant57@example.com"/>
    <s v="555-0057"/>
    <x v="0"/>
    <x v="1"/>
    <n v="700"/>
    <x v="53"/>
    <s v="Not provided"/>
    <x v="15"/>
  </r>
  <r>
    <s v="A058"/>
    <s v="Participant 58"/>
    <s v="Participant58@example.com"/>
    <s v="555-0058"/>
    <x v="1"/>
    <x v="2"/>
    <n v="300"/>
    <x v="54"/>
    <s v="Not provided"/>
    <x v="15"/>
  </r>
  <r>
    <s v="A059"/>
    <s v="Participant 59"/>
    <s v="Participant59@example.com"/>
    <s v="555-0059"/>
    <x v="0"/>
    <x v="0"/>
    <n v="450"/>
    <x v="55"/>
    <s v="Not provided"/>
    <x v="15"/>
  </r>
  <r>
    <s v="A060"/>
    <s v="Participant 60"/>
    <s v="Participant60@example.com"/>
    <s v="555-0060"/>
    <x v="1"/>
    <x v="1"/>
    <n v="700"/>
    <x v="56"/>
    <s v="Not provided"/>
    <x v="15"/>
  </r>
  <r>
    <s v="A061"/>
    <s v="Participant 61"/>
    <s v="Participant61@example.com"/>
    <s v="555-0061"/>
    <x v="0"/>
    <x v="2"/>
    <n v="300"/>
    <x v="57"/>
    <s v="Not provided"/>
    <x v="15"/>
  </r>
  <r>
    <s v="A062"/>
    <s v="Participant 62"/>
    <s v="Participant62@example.com"/>
    <s v="555-0062"/>
    <x v="1"/>
    <x v="0"/>
    <n v="450"/>
    <x v="58"/>
    <s v="Not provided"/>
    <x v="15"/>
  </r>
  <r>
    <s v="A063"/>
    <s v="Participant 63"/>
    <s v="Participant63@example.com"/>
    <s v="555-0063"/>
    <x v="0"/>
    <x v="1"/>
    <n v="700"/>
    <x v="58"/>
    <s v="Not provided"/>
    <x v="15"/>
  </r>
  <r>
    <s v="A064"/>
    <s v="Participant 64"/>
    <s v="Participant64@example.com"/>
    <s v="555-0064"/>
    <x v="1"/>
    <x v="2"/>
    <n v="300"/>
    <x v="59"/>
    <s v="Not provided"/>
    <x v="16"/>
  </r>
  <r>
    <s v="A065"/>
    <s v="Participant 65"/>
    <s v="Participant65@example.com"/>
    <s v="555-0065"/>
    <x v="0"/>
    <x v="0"/>
    <n v="450"/>
    <x v="59"/>
    <s v="Not provided"/>
    <x v="16"/>
  </r>
  <r>
    <s v="A066"/>
    <s v="Participant 66"/>
    <s v="Participant66@example.com"/>
    <s v="555-0066"/>
    <x v="1"/>
    <x v="1"/>
    <n v="700"/>
    <x v="60"/>
    <s v="Not provided"/>
    <x v="16"/>
  </r>
  <r>
    <s v="A067"/>
    <s v="Participant 67"/>
    <s v="Participant67@example.com"/>
    <s v="555-0067"/>
    <x v="0"/>
    <x v="2"/>
    <n v="300"/>
    <x v="61"/>
    <s v="Not provided"/>
    <x v="16"/>
  </r>
  <r>
    <s v="A068"/>
    <s v="Participant 68"/>
    <s v="Participant68@example.com"/>
    <s v="555-0068"/>
    <x v="1"/>
    <x v="0"/>
    <n v="450"/>
    <x v="62"/>
    <s v="Not provided"/>
    <x v="16"/>
  </r>
  <r>
    <s v="A069"/>
    <s v="Participant 69"/>
    <s v="Participant69@example.com"/>
    <s v="555-0069"/>
    <x v="0"/>
    <x v="1"/>
    <n v="700"/>
    <x v="63"/>
    <s v="Not provided"/>
    <x v="17"/>
  </r>
  <r>
    <s v="A070"/>
    <s v="Participant 70"/>
    <s v="Participant70@example.com"/>
    <s v="555-0070"/>
    <x v="1"/>
    <x v="2"/>
    <n v="300"/>
    <x v="64"/>
    <s v="Not provided"/>
    <x v="17"/>
  </r>
  <r>
    <s v="A071"/>
    <s v="Participant 71"/>
    <s v="Participant71@example.com"/>
    <s v="555-0071"/>
    <x v="0"/>
    <x v="0"/>
    <n v="450"/>
    <x v="65"/>
    <s v="Not provided"/>
    <x v="17"/>
  </r>
  <r>
    <s v="A072"/>
    <s v="Participant 72"/>
    <s v="Participant72@example.com"/>
    <s v="555-0072"/>
    <x v="1"/>
    <x v="1"/>
    <n v="700"/>
    <x v="66"/>
    <s v="Not provided"/>
    <x v="18"/>
  </r>
  <r>
    <s v="A073"/>
    <s v="Participant 73"/>
    <s v="Participant73@example.com"/>
    <s v="555-0073"/>
    <x v="0"/>
    <x v="2"/>
    <n v="300"/>
    <x v="67"/>
    <s v="Not provided"/>
    <x v="18"/>
  </r>
  <r>
    <s v="A074"/>
    <s v="Participant 74"/>
    <s v="Participant74@example.com"/>
    <s v="555-0074"/>
    <x v="1"/>
    <x v="0"/>
    <n v="450"/>
    <x v="68"/>
    <s v="Not provided"/>
    <x v="18"/>
  </r>
  <r>
    <s v="A075"/>
    <s v="Participant 75"/>
    <s v="Participant75@example.com"/>
    <s v="555-0075"/>
    <x v="0"/>
    <x v="1"/>
    <n v="700"/>
    <x v="69"/>
    <s v="Not provided"/>
    <x v="19"/>
  </r>
  <r>
    <s v="A076"/>
    <s v="Participant 76"/>
    <s v="Participant76@example.com"/>
    <s v="555-0076"/>
    <x v="1"/>
    <x v="2"/>
    <n v="300"/>
    <x v="70"/>
    <s v="Not provided"/>
    <x v="19"/>
  </r>
  <r>
    <s v="A077"/>
    <s v="Participant 77"/>
    <s v="Participant77@example.com"/>
    <s v="555-0077"/>
    <x v="0"/>
    <x v="0"/>
    <n v="450"/>
    <x v="71"/>
    <s v="Not provided"/>
    <x v="19"/>
  </r>
  <r>
    <s v="A078"/>
    <s v="Participant 78"/>
    <s v="Participant78@example.com"/>
    <s v="555-0078"/>
    <x v="1"/>
    <x v="1"/>
    <n v="700"/>
    <x v="72"/>
    <s v="Not provided"/>
    <x v="19"/>
  </r>
  <r>
    <s v="A079"/>
    <s v="Participant 79"/>
    <s v="Participant79@example.com"/>
    <s v="555-0079"/>
    <x v="0"/>
    <x v="2"/>
    <n v="300"/>
    <x v="73"/>
    <s v="Not provided"/>
    <x v="19"/>
  </r>
  <r>
    <s v="A080"/>
    <s v="Participant 80"/>
    <s v="Participant80@example.com"/>
    <s v="555-0080"/>
    <x v="1"/>
    <x v="0"/>
    <n v="450"/>
    <x v="74"/>
    <s v="Not provided"/>
    <x v="19"/>
  </r>
  <r>
    <s v="A081"/>
    <s v="Participant 81"/>
    <s v="Participant81@example.com"/>
    <s v="555-0081"/>
    <x v="0"/>
    <x v="1"/>
    <n v="700"/>
    <x v="75"/>
    <s v="Not provided"/>
    <x v="20"/>
  </r>
  <r>
    <s v="A082"/>
    <s v="Participant 82"/>
    <s v="Participant82@example.com"/>
    <s v="555-0082"/>
    <x v="1"/>
    <x v="2"/>
    <n v="300"/>
    <x v="76"/>
    <s v="Not provided"/>
    <x v="20"/>
  </r>
  <r>
    <s v="A083"/>
    <s v="Participant 83"/>
    <s v="Participant83@example.com"/>
    <s v="555-0083"/>
    <x v="0"/>
    <x v="0"/>
    <n v="450"/>
    <x v="77"/>
    <s v="Not provided"/>
    <x v="20"/>
  </r>
  <r>
    <s v="A084"/>
    <s v="Participant 84"/>
    <s v="Participant84@example.com"/>
    <s v="555-0084"/>
    <x v="1"/>
    <x v="1"/>
    <n v="700"/>
    <x v="78"/>
    <s v="Not provided"/>
    <x v="21"/>
  </r>
  <r>
    <s v="A085"/>
    <s v="Participant 85"/>
    <s v="Participant85@example.com"/>
    <s v="555-0085"/>
    <x v="0"/>
    <x v="2"/>
    <n v="300"/>
    <x v="79"/>
    <s v="Not provided"/>
    <x v="21"/>
  </r>
  <r>
    <s v="A086"/>
    <s v="Participant 86"/>
    <s v="Participant86@example.com"/>
    <s v="555-0086"/>
    <x v="1"/>
    <x v="0"/>
    <n v="450"/>
    <x v="80"/>
    <s v="Not provided"/>
    <x v="21"/>
  </r>
  <r>
    <s v="A087"/>
    <s v="Participant 87"/>
    <s v="Participant87@example.com"/>
    <s v="555-0087"/>
    <x v="0"/>
    <x v="1"/>
    <n v="700"/>
    <x v="81"/>
    <s v="Not provided"/>
    <x v="21"/>
  </r>
  <r>
    <s v="A088"/>
    <s v="Participant 88"/>
    <s v="Participant88@example.com"/>
    <s v="555-0088"/>
    <x v="1"/>
    <x v="2"/>
    <n v="300"/>
    <x v="82"/>
    <s v="Not provided"/>
    <x v="21"/>
  </r>
  <r>
    <s v="A089"/>
    <s v="Participant 89"/>
    <s v="Participant89@example.com"/>
    <s v="555-0089"/>
    <x v="0"/>
    <x v="0"/>
    <n v="450"/>
    <x v="83"/>
    <s v="Not provided"/>
    <x v="21"/>
  </r>
  <r>
    <s v="A090"/>
    <s v="Participant 90"/>
    <s v="Participant90@example.com"/>
    <s v="555-0090"/>
    <x v="1"/>
    <x v="1"/>
    <n v="700"/>
    <x v="84"/>
    <s v="Not provided"/>
    <x v="21"/>
  </r>
  <r>
    <s v="A091"/>
    <s v="Participant 91"/>
    <s v="Participant91@example.com"/>
    <s v="555-0091"/>
    <x v="0"/>
    <x v="2"/>
    <n v="300"/>
    <x v="85"/>
    <s v="Not provided"/>
    <x v="22"/>
  </r>
  <r>
    <s v="A092"/>
    <s v="Participant 92"/>
    <s v="Participant92@example.com"/>
    <s v="555-0092"/>
    <x v="1"/>
    <x v="0"/>
    <n v="450"/>
    <x v="86"/>
    <s v="Not provided"/>
    <x v="22"/>
  </r>
  <r>
    <s v="A093"/>
    <s v="Participant 93"/>
    <s v="Participant93@example.com"/>
    <s v="555-0093"/>
    <x v="0"/>
    <x v="1"/>
    <n v="700"/>
    <x v="87"/>
    <s v="Not provided"/>
    <x v="23"/>
  </r>
  <r>
    <s v="A094"/>
    <s v="Participant 94"/>
    <s v="Participant94@example.com"/>
    <s v="555-0094"/>
    <x v="1"/>
    <x v="2"/>
    <n v="300"/>
    <x v="88"/>
    <s v="Not provided"/>
    <x v="23"/>
  </r>
  <r>
    <s v="A095"/>
    <s v="Participant 95"/>
    <s v="Participant95@example.com"/>
    <s v="555-0095"/>
    <x v="0"/>
    <x v="0"/>
    <n v="450"/>
    <x v="89"/>
    <s v="Not provided"/>
    <x v="23"/>
  </r>
  <r>
    <s v="A096"/>
    <s v="Participant 96"/>
    <s v="Participant96@example.com"/>
    <s v="555-0096"/>
    <x v="1"/>
    <x v="1"/>
    <n v="700"/>
    <x v="90"/>
    <s v="Not provided"/>
    <x v="23"/>
  </r>
  <r>
    <s v="A097"/>
    <s v="Participant 97"/>
    <s v="Participant97@example.com"/>
    <s v="555-0097"/>
    <x v="0"/>
    <x v="2"/>
    <n v="300"/>
    <x v="91"/>
    <s v="Not provided"/>
    <x v="23"/>
  </r>
  <r>
    <s v="A098"/>
    <s v="Participant 98"/>
    <s v="Participant98@example.com"/>
    <s v="555-0098"/>
    <x v="1"/>
    <x v="0"/>
    <n v="450"/>
    <x v="92"/>
    <s v="Not provided"/>
    <x v="23"/>
  </r>
  <r>
    <s v="A099"/>
    <s v="Participant 99"/>
    <s v="Participant99@example.com"/>
    <s v="555-0099"/>
    <x v="0"/>
    <x v="1"/>
    <n v="700"/>
    <x v="93"/>
    <s v="Not provided"/>
    <x v="24"/>
  </r>
  <r>
    <s v="A100"/>
    <s v="Participant 100"/>
    <s v="Participant100@example.com"/>
    <s v="555-0100"/>
    <x v="1"/>
    <x v="2"/>
    <n v="300"/>
    <x v="94"/>
    <s v="Not provided"/>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1BE87-B17F-4D07-B703-92C85523F397}" name="ptChallenge0"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K1:M5" firstHeaderRow="0" firstDataRow="1" firstDataCol="1"/>
  <pivotFields count="10">
    <pivotField dataField="1" compact="0" outline="0" showAll="0"/>
    <pivotField compact="0" outline="0" showAll="0"/>
    <pivotField compact="0" outline="0" showAll="0"/>
    <pivotField compact="0" outline="0" showAll="0"/>
    <pivotField compact="0" outline="0" showAll="0">
      <items count="3">
        <item x="1"/>
        <item x="0"/>
        <item t="default"/>
      </items>
    </pivotField>
    <pivotField axis="axisRow" compact="0" outline="0" showAll="0">
      <items count="4">
        <item x="1"/>
        <item x="2"/>
        <item x="0"/>
        <item t="default"/>
      </items>
    </pivotField>
    <pivotField dataField="1" compact="0" numFmtId="165" outline="0" showAll="0"/>
    <pivotField compact="0" numFmtId="164" outline="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compact="0" outline="0" showAll="0"/>
    <pivotField compact="0" numFmtId="166" outline="0" showAll="0"/>
  </pivotFields>
  <rowFields count="1">
    <field x="5"/>
  </rowFields>
  <rowItems count="4">
    <i>
      <x/>
    </i>
    <i>
      <x v="1"/>
    </i>
    <i>
      <x v="2"/>
    </i>
    <i t="grand">
      <x/>
    </i>
  </rowItems>
  <colFields count="1">
    <field x="-2"/>
  </colFields>
  <colItems count="2">
    <i>
      <x/>
    </i>
    <i i="1">
      <x v="1"/>
    </i>
  </colItems>
  <dataFields count="2">
    <dataField name="Attendee count" fld="0" subtotal="count" baseField="0" baseItem="0"/>
    <dataField name="Ticket revenue" fld="6"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8B75E3-80F2-4D81-8C50-BF5E89E59BDD}" name="ptBase2" cacheId="1" applyNumberFormats="0" applyBorderFormats="0" applyFontFormats="0" applyPatternFormats="0" applyAlignmentFormats="0" applyWidthHeightFormats="1" dataCaption="Values" updatedVersion="8" minRefreshableVersion="5" useAutoFormatting="1" itemPrintTitles="1" createdVersion="6" indent="0" compact="0" compactData="0" multipleFieldFilters="0">
  <location ref="A24:C50" firstHeaderRow="0" firstDataRow="1" firstDataCol="1"/>
  <pivotFields count="10">
    <pivotField dataField="1"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4">
        <item x="1"/>
        <item x="2"/>
        <item x="0"/>
        <item t="default"/>
      </items>
    </pivotField>
    <pivotField dataField="1" compact="0" numFmtId="165" outline="0" showAll="0"/>
    <pivotField compact="0" numFmtId="164" outline="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compact="0" outline="0" showAll="0"/>
    <pivotField axis="axisRow" compact="0" numFmtId="166"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ttendee count" fld="0" subtotal="count" baseField="0" baseItem="0"/>
    <dataField name="Ticket revenue" fld="6"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0B5A1-F61B-4F2E-852C-33CEE7EF7FC8}" name="ptBase1" cacheId="1" applyNumberFormats="0" applyBorderFormats="0" applyFontFormats="0" applyPatternFormats="0" applyAlignmentFormats="0" applyWidthHeightFormats="1" dataCaption="Values" updatedVersion="8" minRefreshableVersion="5" useAutoFormatting="1" itemPrintTitles="1" createdVersion="6" indent="0" compact="0" compactData="0" multipleFieldFilters="0">
  <location ref="A12:C15" firstHeaderRow="0" firstDataRow="1" firstDataCol="1"/>
  <pivotFields count="1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4">
        <item x="1"/>
        <item x="2"/>
        <item x="0"/>
        <item t="default"/>
      </items>
    </pivotField>
    <pivotField dataField="1" compact="0" numFmtId="165" outline="0" showAll="0"/>
    <pivotField compact="0" numFmtId="164" outline="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compact="0" outline="0" showAll="0"/>
    <pivotField compact="0" numFmtId="166" outline="0" showAll="0"/>
  </pivotFields>
  <rowFields count="1">
    <field x="4"/>
  </rowFields>
  <rowItems count="3">
    <i>
      <x/>
    </i>
    <i>
      <x v="1"/>
    </i>
    <i t="grand">
      <x/>
    </i>
  </rowItems>
  <colFields count="1">
    <field x="-2"/>
  </colFields>
  <colItems count="2">
    <i>
      <x/>
    </i>
    <i i="1">
      <x v="1"/>
    </i>
  </colItems>
  <dataFields count="2">
    <dataField name="Attendee count" fld="0" subtotal="count" baseField="0" baseItem="0"/>
    <dataField name="Ticket revenue" fld="6"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D2CAA-38A4-4CEC-9EB6-D95482D568A5}" name="ptBase0" cacheId="1" applyNumberFormats="0" applyBorderFormats="0" applyFontFormats="0" applyPatternFormats="0" applyAlignmentFormats="0" applyWidthHeightFormats="1" dataCaption="Values" updatedVersion="8" minRefreshableVersion="5" useAutoFormatting="1" itemPrintTitles="1" createdVersion="6" indent="0" compact="0" compactData="0" multipleFieldFilters="0">
  <location ref="A1:C5" firstHeaderRow="0" firstDataRow="1" firstDataCol="1"/>
  <pivotFields count="10">
    <pivotField dataField="1" compact="0" outline="0" showAll="0"/>
    <pivotField compact="0" outline="0" showAll="0"/>
    <pivotField compact="0" outline="0" showAll="0"/>
    <pivotField compact="0" outline="0" showAll="0"/>
    <pivotField compact="0" outline="0" showAll="0">
      <items count="3">
        <item x="1"/>
        <item x="0"/>
        <item t="default"/>
      </items>
    </pivotField>
    <pivotField axis="axisRow" compact="0" outline="0" showAll="0">
      <items count="4">
        <item x="1"/>
        <item x="2"/>
        <item x="0"/>
        <item t="default"/>
      </items>
    </pivotField>
    <pivotField dataField="1" compact="0" numFmtId="165" outline="0" showAll="0"/>
    <pivotField compact="0" numFmtId="164" outline="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compact="0" outline="0" showAll="0"/>
    <pivotField compact="0" numFmtId="166" outline="0" showAll="0"/>
  </pivotFields>
  <rowFields count="1">
    <field x="5"/>
  </rowFields>
  <rowItems count="4">
    <i>
      <x/>
    </i>
    <i>
      <x v="1"/>
    </i>
    <i>
      <x v="2"/>
    </i>
    <i t="grand">
      <x/>
    </i>
  </rowItems>
  <colFields count="1">
    <field x="-2"/>
  </colFields>
  <colItems count="2">
    <i>
      <x/>
    </i>
    <i i="1">
      <x v="1"/>
    </i>
  </colItems>
  <dataFields count="2">
    <dataField name="Attendee count" fld="0" subtotal="count" baseField="0" baseItem="0"/>
    <dataField name="Ticket revenue" fld="6"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8F08A0-5A82-4488-9AFD-5F9B84B97782}" name="ptChallenge2"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K24:M50" firstHeaderRow="0" firstDataRow="1" firstDataCol="1"/>
  <pivotFields count="10">
    <pivotField dataField="1"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4">
        <item x="1"/>
        <item x="2"/>
        <item x="0"/>
        <item t="default"/>
      </items>
    </pivotField>
    <pivotField dataField="1" compact="0" numFmtId="165" outline="0" showAll="0"/>
    <pivotField compact="0" numFmtId="164" outline="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compact="0" outline="0" showAll="0"/>
    <pivotField axis="axisRow" compact="0" numFmtId="166"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ttendee count" fld="0" subtotal="count" baseField="0" baseItem="0"/>
    <dataField name="Ticket revenue" fld="6"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1ACEAD-E0F4-4EE8-998B-1E18FC43215F}" name="ptChallenge1"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K12:M15" firstHeaderRow="0" firstDataRow="1" firstDataCol="1"/>
  <pivotFields count="1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4">
        <item x="1"/>
        <item x="2"/>
        <item x="0"/>
        <item t="default"/>
      </items>
    </pivotField>
    <pivotField dataField="1" compact="0" numFmtId="165" outline="0" showAll="0"/>
    <pivotField compact="0" numFmtId="164" outline="0"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compact="0" outline="0" showAll="0"/>
    <pivotField compact="0" numFmtId="166" outline="0" showAll="0"/>
  </pivotFields>
  <rowFields count="1">
    <field x="4"/>
  </rowFields>
  <rowItems count="3">
    <i>
      <x/>
    </i>
    <i>
      <x v="1"/>
    </i>
    <i t="grand">
      <x/>
    </i>
  </rowItems>
  <colFields count="1">
    <field x="-2"/>
  </colFields>
  <colItems count="2">
    <i>
      <x/>
    </i>
    <i i="1">
      <x v="1"/>
    </i>
  </colItems>
  <dataFields count="2">
    <dataField name="Attendee count" fld="0" subtotal="count" baseField="0" baseItem="0"/>
    <dataField name="Ticket revenue" fld="6"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AttendanceBase" xr10:uid="{94CE3EF2-B971-4B62-B89A-0B1B1EF198AF}" sourceName="Attendance Type">
  <pivotTables>
    <pivotTable tabId="11" name="ptBase0"/>
    <pivotTable tabId="11" name="ptBase1"/>
    <pivotTable tabId="11" name="ptBase2"/>
  </pivotTables>
  <data>
    <tabular pivotCacheId="204822895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ssionBase" xr10:uid="{F11519EA-483B-4959-80FD-C87A03F8A3A5}" sourceName="Session Preference">
  <pivotTables>
    <pivotTable tabId="11" name="ptBase0"/>
    <pivotTable tabId="11" name="ptBase1"/>
    <pivotTable tabId="11" name="ptBase2"/>
  </pivotTables>
  <data>
    <tabular pivotCacheId="204822895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Base" xr10:uid="{819E48E3-5EC3-43BA-8355-E133CD30FEB2}" cache="AttendanceBase" caption="Attendance type" rowHeight="241300"/>
  <slicer name="SessionBase" xr10:uid="{3CA6FA9A-78EB-43F7-9EB9-F26ABD616138}" cache="SessionBase" caption="Session prefere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tendees" displayName="Attendees" ref="A1:J101" totalsRowShown="0">
  <tableColumns count="10">
    <tableColumn id="1" xr3:uid="{00000000-0010-0000-0000-000001000000}" name="Attendee ID"/>
    <tableColumn id="2" xr3:uid="{00000000-0010-0000-0000-000002000000}" name="Name"/>
    <tableColumn id="3" xr3:uid="{00000000-0010-0000-0000-000003000000}" name="Email"/>
    <tableColumn id="4" xr3:uid="{00000000-0010-0000-0000-000004000000}" name="Phone Number"/>
    <tableColumn id="5" xr3:uid="{00000000-0010-0000-0000-000005000000}" name="Attendance Type"/>
    <tableColumn id="6" xr3:uid="{00000000-0010-0000-0000-000006000000}" name="Session Preference"/>
    <tableColumn id="7" xr3:uid="{00000000-0010-0000-0000-000007000000}" name="Ticket Price (€)"/>
    <tableColumn id="8" xr3:uid="{00000000-0010-0000-0000-000008000000}" name="Registration Date"/>
    <tableColumn id="9" xr3:uid="{00000000-0010-0000-0000-000009000000}" name="Dietary Preference"/>
    <tableColumn id="10" xr3:uid="{00000000-0010-0000-0000-00000A000000}" name="Registration Month">
      <calculatedColumnFormula>DATE(YEAR(Attendees[[#This Row],[Registration Date]]),MONTH(Attendees[[#This Row],[Registration Date]]),1)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DateBase" xr10:uid="{27F99619-26CE-42E3-98D9-DFB62DFB40ED}" sourceName="Registration Date">
  <pivotTables>
    <pivotTable tabId="11" name="ptBase0"/>
    <pivotTable tabId="11" name="ptBase1"/>
    <pivotTable tabId="11" name="ptBase2"/>
  </pivotTables>
  <state minimalRefreshVersion="6" lastRefreshVersion="6" pivotCacheId="2048228950"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Base" xr10:uid="{3EFAE324-F534-41E1-9F35-D2661858AC19}" cache="DateBase" caption="Registration date" level="2" selectionLevel="2" scrollPosition="2023-12-0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1"/>
  <sheetViews>
    <sheetView showGridLines="0" tabSelected="1" topLeftCell="A5" zoomScale="75" zoomScaleNormal="75" workbookViewId="0"/>
  </sheetViews>
  <sheetFormatPr defaultRowHeight="14.5" x14ac:dyDescent="0.35"/>
  <cols>
    <col min="1" max="14" width="13" customWidth="1"/>
  </cols>
  <sheetData>
    <row r="1" spans="1:14" ht="24" customHeight="1" x14ac:dyDescent="0.35">
      <c r="A1" s="10" t="s">
        <v>425</v>
      </c>
      <c r="B1" s="4"/>
      <c r="C1" s="4"/>
      <c r="D1" s="4"/>
      <c r="E1" s="4"/>
      <c r="F1" s="4"/>
      <c r="G1" s="4"/>
      <c r="H1" s="4"/>
      <c r="I1" s="4"/>
      <c r="J1" s="4"/>
      <c r="K1" s="4"/>
      <c r="L1" s="4"/>
      <c r="M1" s="4"/>
      <c r="N1" s="4"/>
    </row>
    <row r="2" spans="1:14" ht="24" customHeight="1" x14ac:dyDescent="0.35">
      <c r="A2" s="4"/>
      <c r="B2" s="4"/>
      <c r="C2" s="4"/>
      <c r="D2" s="4"/>
      <c r="E2" s="4"/>
      <c r="F2" s="4"/>
      <c r="G2" s="4"/>
      <c r="H2" s="4"/>
      <c r="I2" s="4"/>
      <c r="J2" s="4"/>
      <c r="K2" s="4"/>
      <c r="L2" s="4"/>
      <c r="M2" s="4"/>
      <c r="N2" s="4"/>
    </row>
    <row r="3" spans="1:14" ht="24" customHeight="1" x14ac:dyDescent="0.35">
      <c r="A3" s="4"/>
      <c r="B3" s="4"/>
      <c r="C3" s="4"/>
      <c r="D3" s="4"/>
      <c r="E3" s="4"/>
      <c r="F3" s="4"/>
      <c r="G3" s="4"/>
      <c r="H3" s="4"/>
      <c r="I3" s="4"/>
      <c r="J3" s="4"/>
      <c r="K3" s="4"/>
      <c r="L3" s="4"/>
      <c r="M3" s="4"/>
      <c r="N3" s="4"/>
    </row>
    <row r="4" spans="1:14" ht="22" customHeight="1" x14ac:dyDescent="0.35">
      <c r="A4" s="1" t="s">
        <v>426</v>
      </c>
      <c r="B4" s="1"/>
      <c r="C4" s="1"/>
      <c r="D4" s="1"/>
      <c r="E4" s="1"/>
      <c r="F4" s="1"/>
      <c r="G4" s="1"/>
      <c r="H4" s="1"/>
      <c r="I4" s="1"/>
      <c r="J4" s="1"/>
      <c r="K4" s="1"/>
      <c r="L4" s="1"/>
      <c r="M4" s="1"/>
      <c r="N4" s="1"/>
    </row>
    <row r="5" spans="1:14" ht="22" customHeight="1" x14ac:dyDescent="0.35">
      <c r="A5" s="1"/>
      <c r="B5" s="1"/>
      <c r="C5" s="1"/>
      <c r="D5" s="1"/>
      <c r="E5" s="1"/>
      <c r="F5" s="1"/>
      <c r="G5" s="1"/>
      <c r="H5" s="1"/>
      <c r="I5" s="1"/>
      <c r="J5" s="1"/>
      <c r="K5" s="1"/>
      <c r="L5" s="1"/>
      <c r="M5" s="1"/>
      <c r="N5" s="1"/>
    </row>
    <row r="6" spans="1:14" ht="22" customHeight="1" x14ac:dyDescent="0.35">
      <c r="A6" s="1" t="s">
        <v>427</v>
      </c>
      <c r="B6" s="1"/>
      <c r="C6" s="1"/>
      <c r="D6" s="1"/>
      <c r="E6" s="1" t="s">
        <v>428</v>
      </c>
      <c r="F6" s="1"/>
      <c r="G6" s="1"/>
      <c r="H6" s="1"/>
      <c r="I6" s="1" t="s">
        <v>429</v>
      </c>
      <c r="J6" s="1"/>
      <c r="K6" s="1"/>
      <c r="L6" s="1"/>
      <c r="M6" s="1"/>
      <c r="N6" s="1"/>
    </row>
    <row r="7" spans="1:14" ht="22" customHeight="1" x14ac:dyDescent="0.35">
      <c r="A7" s="25">
        <f>SUM('Dashboard Data'!C6:C8)</f>
        <v>100</v>
      </c>
      <c r="B7" s="25"/>
      <c r="C7" s="25"/>
      <c r="D7" s="15"/>
      <c r="E7" s="26">
        <f>SUM('Dashboard Data'!B6:B8)</f>
        <v>48300</v>
      </c>
      <c r="F7" s="26"/>
      <c r="G7" s="26"/>
      <c r="H7" s="16"/>
      <c r="I7" s="26">
        <f>IF(A7=0,0,E7/A7)</f>
        <v>483</v>
      </c>
      <c r="J7" s="26"/>
      <c r="K7" s="26"/>
      <c r="L7" s="26"/>
      <c r="M7" s="26"/>
      <c r="N7" s="15"/>
    </row>
    <row r="8" spans="1:14" ht="22" customHeight="1" x14ac:dyDescent="0.35">
      <c r="A8" s="25"/>
      <c r="B8" s="25"/>
      <c r="C8" s="25"/>
      <c r="D8" s="15"/>
      <c r="E8" s="26"/>
      <c r="F8" s="26"/>
      <c r="G8" s="26"/>
      <c r="H8" s="15"/>
      <c r="I8" s="26"/>
      <c r="J8" s="26"/>
      <c r="K8" s="26"/>
      <c r="L8" s="26"/>
      <c r="M8" s="26"/>
      <c r="N8" s="15"/>
    </row>
    <row r="9" spans="1:14" ht="22" customHeight="1" x14ac:dyDescent="0.35">
      <c r="A9" s="1"/>
      <c r="B9" s="1"/>
      <c r="C9" s="1"/>
      <c r="D9" s="1"/>
      <c r="E9" s="1"/>
      <c r="F9" s="1"/>
      <c r="G9" s="1"/>
      <c r="H9" s="1"/>
      <c r="I9" s="1"/>
      <c r="J9" s="1"/>
      <c r="K9" s="1"/>
      <c r="L9" s="1"/>
      <c r="M9" s="1"/>
      <c r="N9" s="1"/>
    </row>
    <row r="10" spans="1:14" ht="22" customHeight="1" x14ac:dyDescent="0.35">
      <c r="A10" s="1" t="s">
        <v>430</v>
      </c>
      <c r="B10" s="1"/>
      <c r="C10" s="1"/>
      <c r="D10" s="1"/>
      <c r="E10" s="1" t="s">
        <v>431</v>
      </c>
      <c r="F10" s="1"/>
      <c r="G10" s="1"/>
      <c r="H10" s="1"/>
      <c r="I10" s="1" t="s">
        <v>432</v>
      </c>
      <c r="J10" s="1"/>
      <c r="K10" s="1"/>
      <c r="L10" s="1"/>
      <c r="M10" s="1"/>
      <c r="N10" s="1"/>
    </row>
    <row r="11" spans="1:14" ht="22" customHeight="1" x14ac:dyDescent="0.35">
      <c r="A11" s="25">
        <f>Projections!B23</f>
        <v>60</v>
      </c>
      <c r="B11" s="25"/>
      <c r="C11" s="25"/>
      <c r="D11" s="15"/>
      <c r="E11" s="26">
        <f>Projections!B24</f>
        <v>28980</v>
      </c>
      <c r="F11" s="26"/>
      <c r="G11" s="26"/>
      <c r="H11" s="16"/>
      <c r="I11" s="26">
        <f>Projections!B27</f>
        <v>15680</v>
      </c>
      <c r="J11" s="26"/>
      <c r="K11" s="26"/>
      <c r="L11" s="26"/>
      <c r="M11" s="26"/>
      <c r="N11" s="15"/>
    </row>
    <row r="12" spans="1:14" ht="22" customHeight="1" x14ac:dyDescent="0.35">
      <c r="A12" s="25"/>
      <c r="B12" s="25"/>
      <c r="C12" s="25"/>
      <c r="D12" s="15"/>
      <c r="E12" s="26"/>
      <c r="F12" s="26"/>
      <c r="G12" s="26"/>
      <c r="H12" s="15"/>
      <c r="I12" s="26"/>
      <c r="J12" s="26"/>
      <c r="K12" s="26"/>
      <c r="L12" s="26"/>
      <c r="M12" s="26"/>
      <c r="N12" s="15"/>
    </row>
    <row r="13" spans="1:14" ht="22" customHeight="1" x14ac:dyDescent="0.35">
      <c r="A13" s="1"/>
      <c r="B13" s="1"/>
      <c r="C13" s="1"/>
      <c r="D13" s="1"/>
      <c r="E13" s="1"/>
      <c r="F13" s="1"/>
      <c r="G13" s="1"/>
      <c r="H13" s="1"/>
      <c r="I13" s="1"/>
      <c r="J13" s="1"/>
      <c r="K13" s="1"/>
      <c r="L13" s="1"/>
      <c r="M13" s="1"/>
      <c r="N13" s="1"/>
    </row>
    <row r="14" spans="1:14" ht="22" customHeight="1" x14ac:dyDescent="0.35">
      <c r="A14" s="1" t="s">
        <v>433</v>
      </c>
      <c r="B14" s="1"/>
      <c r="C14" s="28">
        <f>Projections!B25</f>
        <v>9000</v>
      </c>
      <c r="D14" s="28"/>
      <c r="E14" s="2" t="s">
        <v>434</v>
      </c>
      <c r="F14" s="2"/>
      <c r="G14" s="28">
        <f>Projections!B26</f>
        <v>4300</v>
      </c>
      <c r="H14" s="28"/>
      <c r="I14" s="2" t="s">
        <v>435</v>
      </c>
      <c r="J14" s="2"/>
      <c r="K14" s="2"/>
      <c r="L14" s="28">
        <f>Projections!B28</f>
        <v>45000</v>
      </c>
      <c r="M14" s="28"/>
      <c r="N14" s="28"/>
    </row>
    <row r="15" spans="1:14" ht="22" customHeight="1" x14ac:dyDescent="0.35">
      <c r="A15" s="1"/>
      <c r="B15" s="1"/>
      <c r="C15" s="1"/>
      <c r="D15" s="1"/>
      <c r="E15" s="1"/>
      <c r="F15" s="1"/>
      <c r="G15" s="1"/>
      <c r="H15" s="1"/>
      <c r="I15" s="1"/>
      <c r="J15" s="1"/>
      <c r="K15" s="1"/>
      <c r="L15" s="1"/>
      <c r="M15" s="1"/>
      <c r="N15" s="1"/>
    </row>
    <row r="16" spans="1:14" ht="22" customHeight="1" x14ac:dyDescent="0.35">
      <c r="A16" s="1" t="s">
        <v>436</v>
      </c>
      <c r="B16" s="1"/>
      <c r="C16" s="28">
        <f>Projections!B34</f>
        <v>971.66666666666663</v>
      </c>
      <c r="D16" s="28"/>
      <c r="E16" s="1" t="s">
        <v>437</v>
      </c>
      <c r="F16" s="1"/>
      <c r="G16" s="29">
        <f>Projections!B38</f>
        <v>121</v>
      </c>
      <c r="H16" s="29"/>
      <c r="I16" s="1" t="s">
        <v>438</v>
      </c>
      <c r="J16" s="1"/>
      <c r="K16" s="1"/>
      <c r="L16" s="28">
        <f>Projections!B22</f>
        <v>483</v>
      </c>
      <c r="M16" s="28"/>
      <c r="N16" s="28"/>
    </row>
    <row r="17" spans="1:14" ht="22" customHeight="1" x14ac:dyDescent="0.35">
      <c r="A17" s="1"/>
      <c r="B17" s="1"/>
      <c r="C17" s="1"/>
      <c r="D17" s="1"/>
      <c r="E17" s="1"/>
      <c r="F17" s="1"/>
      <c r="G17" s="1"/>
      <c r="H17" s="1"/>
      <c r="I17" s="1"/>
      <c r="J17" s="1"/>
      <c r="K17" s="1"/>
      <c r="L17" s="1"/>
      <c r="M17" s="1"/>
      <c r="N17" s="1"/>
    </row>
    <row r="18" spans="1:14" ht="22" customHeight="1" x14ac:dyDescent="0.35">
      <c r="A18" s="27" t="s">
        <v>439</v>
      </c>
      <c r="B18" s="27"/>
      <c r="C18" s="27"/>
      <c r="D18" s="27"/>
      <c r="E18" s="27"/>
      <c r="F18" s="27"/>
      <c r="G18" s="27"/>
      <c r="H18" s="27"/>
      <c r="I18" s="27"/>
      <c r="J18" s="27"/>
      <c r="K18" s="27"/>
      <c r="L18" s="27"/>
      <c r="M18" s="27"/>
      <c r="N18" s="27"/>
    </row>
    <row r="19" spans="1:14" ht="22" customHeight="1" x14ac:dyDescent="0.35">
      <c r="A19" s="1"/>
      <c r="B19" s="1"/>
      <c r="C19" s="1"/>
      <c r="D19" s="1"/>
      <c r="E19" s="1"/>
      <c r="F19" s="1"/>
      <c r="G19" s="1"/>
      <c r="H19" s="1"/>
      <c r="I19" s="1"/>
      <c r="J19" s="1"/>
      <c r="K19" s="1"/>
      <c r="L19" s="1"/>
      <c r="M19" s="1"/>
      <c r="N19" s="1"/>
    </row>
    <row r="20" spans="1:14" ht="22" customHeight="1" x14ac:dyDescent="0.35">
      <c r="A20" s="1"/>
      <c r="B20" s="1"/>
      <c r="C20" s="1"/>
      <c r="D20" s="1"/>
      <c r="E20" s="1"/>
      <c r="F20" s="1"/>
      <c r="G20" s="1"/>
      <c r="H20" s="1"/>
      <c r="I20" s="1"/>
      <c r="J20" s="1"/>
      <c r="K20" s="1"/>
      <c r="L20" s="1"/>
      <c r="M20" s="1"/>
      <c r="N20" s="1"/>
    </row>
    <row r="21" spans="1:14" ht="22" customHeight="1" x14ac:dyDescent="0.35">
      <c r="A21" s="1"/>
      <c r="B21" s="1"/>
      <c r="C21" s="1"/>
      <c r="D21" s="1"/>
      <c r="E21" s="1"/>
      <c r="F21" s="1"/>
      <c r="G21" s="1"/>
      <c r="H21" s="1"/>
      <c r="I21" s="1"/>
      <c r="J21" s="1"/>
      <c r="K21" s="1"/>
      <c r="L21" s="1"/>
      <c r="M21" s="1"/>
      <c r="N21" s="1"/>
    </row>
    <row r="22" spans="1:14" ht="22" customHeight="1" x14ac:dyDescent="0.35">
      <c r="A22" s="1"/>
      <c r="B22" s="1"/>
      <c r="C22" s="1"/>
      <c r="D22" s="1"/>
      <c r="E22" s="1"/>
      <c r="F22" s="1"/>
      <c r="G22" s="1"/>
      <c r="H22" s="1"/>
      <c r="I22" s="1"/>
      <c r="J22" s="1"/>
      <c r="K22" s="1"/>
      <c r="L22" s="1"/>
      <c r="M22" s="1"/>
      <c r="N22" s="1"/>
    </row>
    <row r="23" spans="1:14" ht="22" customHeight="1" x14ac:dyDescent="0.35">
      <c r="A23" s="1"/>
      <c r="B23" s="1"/>
      <c r="C23" s="1"/>
      <c r="D23" s="1"/>
      <c r="E23" s="1"/>
      <c r="F23" s="1"/>
      <c r="G23" s="1"/>
      <c r="H23" s="1"/>
      <c r="I23" s="1"/>
      <c r="J23" s="1"/>
      <c r="K23" s="1"/>
      <c r="L23" s="1"/>
      <c r="M23" s="1"/>
      <c r="N23" s="1"/>
    </row>
    <row r="24" spans="1:14" ht="22" customHeight="1" x14ac:dyDescent="0.35">
      <c r="A24" s="1"/>
      <c r="B24" s="1"/>
      <c r="C24" s="1"/>
      <c r="D24" s="1"/>
      <c r="E24" s="1"/>
      <c r="F24" s="1"/>
      <c r="G24" s="1"/>
      <c r="H24" s="1"/>
      <c r="I24" s="1"/>
      <c r="J24" s="1"/>
      <c r="K24" s="1"/>
      <c r="L24" s="1"/>
      <c r="M24" s="1"/>
      <c r="N24" s="1"/>
    </row>
    <row r="25" spans="1:14" ht="22" customHeight="1" x14ac:dyDescent="0.35">
      <c r="A25" s="1"/>
      <c r="B25" s="1"/>
      <c r="C25" s="1"/>
      <c r="D25" s="1"/>
      <c r="E25" s="1"/>
      <c r="F25" s="1"/>
      <c r="G25" s="1"/>
      <c r="H25" s="1"/>
      <c r="I25" s="1"/>
      <c r="J25" s="1"/>
      <c r="K25" s="1"/>
      <c r="L25" s="1"/>
      <c r="M25" s="1"/>
      <c r="N25" s="1"/>
    </row>
    <row r="26" spans="1:14" ht="22" customHeight="1" x14ac:dyDescent="0.35">
      <c r="A26" s="1"/>
      <c r="B26" s="1"/>
      <c r="C26" s="1"/>
      <c r="D26" s="1"/>
      <c r="E26" s="1"/>
      <c r="F26" s="1"/>
      <c r="G26" s="1"/>
      <c r="H26" s="1"/>
      <c r="I26" s="1"/>
      <c r="J26" s="1"/>
      <c r="K26" s="1"/>
      <c r="L26" s="1"/>
      <c r="M26" s="1"/>
      <c r="N26" s="1"/>
    </row>
    <row r="27" spans="1:14" ht="22" customHeight="1" x14ac:dyDescent="0.35">
      <c r="A27" s="1"/>
      <c r="B27" s="1"/>
      <c r="C27" s="1"/>
      <c r="D27" s="1"/>
      <c r="E27" s="1"/>
      <c r="F27" s="1"/>
      <c r="G27" s="1"/>
      <c r="H27" s="1"/>
      <c r="I27" s="1"/>
      <c r="J27" s="1"/>
      <c r="K27" s="1"/>
      <c r="L27" s="1"/>
      <c r="M27" s="1"/>
      <c r="N27" s="1"/>
    </row>
    <row r="28" spans="1:14" ht="22" customHeight="1" x14ac:dyDescent="0.35">
      <c r="A28" s="1"/>
      <c r="B28" s="1"/>
      <c r="C28" s="1"/>
      <c r="D28" s="1"/>
      <c r="E28" s="1"/>
      <c r="F28" s="1"/>
      <c r="G28" s="1"/>
      <c r="H28" s="1"/>
      <c r="I28" s="1"/>
      <c r="J28" s="1"/>
      <c r="K28" s="1"/>
      <c r="L28" s="1"/>
      <c r="M28" s="1"/>
      <c r="N28" s="1"/>
    </row>
    <row r="29" spans="1:14" ht="22" customHeight="1" x14ac:dyDescent="0.35">
      <c r="A29" s="1"/>
      <c r="B29" s="1"/>
      <c r="C29" s="1"/>
      <c r="D29" s="1"/>
      <c r="E29" s="1"/>
      <c r="F29" s="1"/>
      <c r="G29" s="1"/>
      <c r="H29" s="1"/>
      <c r="I29" s="1"/>
      <c r="J29" s="1"/>
      <c r="K29" s="1"/>
      <c r="L29" s="1"/>
      <c r="M29" s="1"/>
      <c r="N29" s="1"/>
    </row>
    <row r="30" spans="1:14" ht="22" customHeight="1" x14ac:dyDescent="0.35">
      <c r="A30" s="1"/>
      <c r="B30" s="1"/>
      <c r="C30" s="1"/>
      <c r="D30" s="1"/>
      <c r="E30" s="1"/>
      <c r="F30" s="1"/>
      <c r="G30" s="1"/>
      <c r="H30" s="1"/>
      <c r="I30" s="1"/>
      <c r="J30" s="1"/>
      <c r="K30" s="1"/>
      <c r="L30" s="1"/>
      <c r="M30" s="1"/>
      <c r="N30" s="1"/>
    </row>
    <row r="31" spans="1:14" ht="22" customHeight="1" x14ac:dyDescent="0.35">
      <c r="A31" s="1"/>
      <c r="B31" s="1"/>
      <c r="C31" s="1"/>
      <c r="D31" s="1"/>
      <c r="E31" s="1"/>
      <c r="F31" s="1"/>
      <c r="G31" s="1"/>
      <c r="H31" s="1"/>
      <c r="I31" s="1"/>
      <c r="J31" s="1"/>
      <c r="K31" s="1"/>
      <c r="L31" s="1"/>
      <c r="M31" s="1"/>
      <c r="N31" s="1"/>
    </row>
    <row r="32" spans="1:14" ht="22" customHeight="1" x14ac:dyDescent="0.35">
      <c r="A32" s="1"/>
      <c r="B32" s="1"/>
      <c r="C32" s="1"/>
      <c r="D32" s="1"/>
      <c r="E32" s="1"/>
      <c r="F32" s="1"/>
      <c r="G32" s="1"/>
      <c r="H32" s="1"/>
      <c r="I32" s="1"/>
      <c r="J32" s="1"/>
      <c r="K32" s="1"/>
      <c r="L32" s="1"/>
      <c r="M32" s="1"/>
      <c r="N32" s="1"/>
    </row>
    <row r="33" spans="1:14" ht="22" customHeight="1" x14ac:dyDescent="0.35">
      <c r="A33" s="1"/>
      <c r="B33" s="1"/>
      <c r="C33" s="1"/>
      <c r="D33" s="1"/>
      <c r="E33" s="1"/>
      <c r="F33" s="1"/>
      <c r="G33" s="1"/>
      <c r="H33" s="1"/>
      <c r="I33" s="1"/>
      <c r="J33" s="1"/>
      <c r="K33" s="1"/>
      <c r="L33" s="1"/>
      <c r="M33" s="1"/>
      <c r="N33" s="1"/>
    </row>
    <row r="34" spans="1:14" ht="22" customHeight="1" x14ac:dyDescent="0.35">
      <c r="A34" s="1"/>
      <c r="B34" s="1"/>
      <c r="C34" s="1"/>
      <c r="D34" s="1"/>
      <c r="E34" s="1"/>
      <c r="F34" s="1"/>
      <c r="G34" s="1"/>
      <c r="H34" s="1"/>
      <c r="I34" s="1"/>
      <c r="J34" s="1"/>
      <c r="K34" s="1"/>
      <c r="L34" s="1"/>
      <c r="M34" s="1"/>
      <c r="N34" s="1"/>
    </row>
    <row r="35" spans="1:14" ht="22" customHeight="1" x14ac:dyDescent="0.35">
      <c r="A35" s="1"/>
      <c r="B35" s="1"/>
      <c r="C35" s="1"/>
      <c r="D35" s="1"/>
      <c r="E35" s="1"/>
      <c r="F35" s="1"/>
      <c r="G35" s="1"/>
      <c r="H35" s="1"/>
      <c r="I35" s="1"/>
      <c r="J35" s="1"/>
      <c r="K35" s="1"/>
      <c r="L35" s="1"/>
      <c r="M35" s="1"/>
      <c r="N35" s="1"/>
    </row>
    <row r="36" spans="1:14" ht="22" customHeight="1" x14ac:dyDescent="0.35">
      <c r="A36" s="1"/>
      <c r="B36" s="1"/>
      <c r="C36" s="1"/>
      <c r="D36" s="1"/>
      <c r="E36" s="1"/>
      <c r="F36" s="1"/>
      <c r="G36" s="1"/>
      <c r="H36" s="1"/>
      <c r="I36" s="1"/>
      <c r="J36" s="1"/>
      <c r="K36" s="1"/>
      <c r="L36" s="1"/>
      <c r="M36" s="1"/>
      <c r="N36" s="1"/>
    </row>
    <row r="37" spans="1:14" ht="22" customHeight="1" x14ac:dyDescent="0.35">
      <c r="A37" s="1"/>
      <c r="B37" s="1"/>
      <c r="C37" s="1"/>
      <c r="D37" s="1"/>
      <c r="E37" s="1"/>
      <c r="F37" s="1"/>
      <c r="G37" s="1"/>
      <c r="H37" s="1"/>
      <c r="I37" s="1"/>
      <c r="J37" s="1"/>
      <c r="K37" s="1"/>
      <c r="L37" s="1"/>
      <c r="M37" s="1"/>
      <c r="N37" s="1"/>
    </row>
    <row r="38" spans="1:14" ht="22" customHeight="1" x14ac:dyDescent="0.35">
      <c r="A38" s="1"/>
      <c r="B38" s="1"/>
      <c r="C38" s="1"/>
      <c r="D38" s="1"/>
      <c r="E38" s="1"/>
      <c r="F38" s="1"/>
      <c r="G38" s="1"/>
      <c r="H38" s="1"/>
      <c r="I38" s="1"/>
      <c r="J38" s="1"/>
      <c r="K38" s="1"/>
      <c r="L38" s="1"/>
      <c r="M38" s="1"/>
      <c r="N38" s="1"/>
    </row>
    <row r="39" spans="1:14" ht="22" customHeight="1" x14ac:dyDescent="0.35">
      <c r="A39" s="1"/>
      <c r="B39" s="1"/>
      <c r="C39" s="1"/>
      <c r="D39" s="1"/>
      <c r="E39" s="1"/>
      <c r="F39" s="1"/>
      <c r="G39" s="1"/>
      <c r="H39" s="1"/>
      <c r="I39" s="1"/>
      <c r="J39" s="1"/>
      <c r="K39" s="1"/>
      <c r="L39" s="1"/>
      <c r="M39" s="1"/>
      <c r="N39" s="1"/>
    </row>
    <row r="40" spans="1:14" ht="22" customHeight="1" x14ac:dyDescent="0.35">
      <c r="A40" s="1"/>
      <c r="B40" s="1"/>
      <c r="C40" s="1"/>
      <c r="D40" s="1"/>
      <c r="E40" s="1"/>
      <c r="F40" s="1"/>
      <c r="G40" s="1"/>
      <c r="H40" s="1"/>
      <c r="I40" s="1"/>
      <c r="J40" s="1"/>
      <c r="K40" s="1"/>
      <c r="L40" s="1"/>
      <c r="M40" s="1"/>
      <c r="N40" s="1"/>
    </row>
    <row r="41" spans="1:14" ht="22" customHeight="1" x14ac:dyDescent="0.35">
      <c r="A41" s="1"/>
      <c r="B41" s="1"/>
      <c r="C41" s="1"/>
      <c r="D41" s="1"/>
      <c r="E41" s="1"/>
      <c r="F41" s="1"/>
      <c r="G41" s="1"/>
      <c r="H41" s="1"/>
      <c r="I41" s="1"/>
      <c r="J41" s="1"/>
      <c r="K41" s="1"/>
      <c r="L41" s="1"/>
      <c r="M41" s="1"/>
      <c r="N41" s="1"/>
    </row>
    <row r="42" spans="1:14" ht="22" customHeight="1" x14ac:dyDescent="0.35">
      <c r="A42" s="1"/>
      <c r="B42" s="1"/>
      <c r="C42" s="1"/>
      <c r="D42" s="1"/>
      <c r="E42" s="1"/>
      <c r="F42" s="1"/>
      <c r="G42" s="1"/>
      <c r="H42" s="1"/>
      <c r="I42" s="1"/>
      <c r="J42" s="1"/>
      <c r="K42" s="1"/>
      <c r="L42" s="1"/>
      <c r="M42" s="1"/>
      <c r="N42" s="1"/>
    </row>
    <row r="43" spans="1:14" ht="22" customHeight="1" x14ac:dyDescent="0.35">
      <c r="A43" s="1"/>
      <c r="B43" s="1"/>
      <c r="C43" s="1"/>
      <c r="D43" s="1"/>
      <c r="E43" s="1"/>
      <c r="F43" s="1"/>
      <c r="G43" s="1"/>
      <c r="H43" s="1"/>
      <c r="I43" s="1"/>
      <c r="J43" s="1"/>
      <c r="K43" s="1"/>
      <c r="L43" s="1"/>
      <c r="M43" s="1"/>
      <c r="N43" s="1"/>
    </row>
    <row r="44" spans="1:14" ht="22" customHeight="1" x14ac:dyDescent="0.35">
      <c r="A44" s="1"/>
      <c r="B44" s="1"/>
      <c r="C44" s="1"/>
      <c r="D44" s="1"/>
      <c r="E44" s="1"/>
      <c r="F44" s="1"/>
      <c r="G44" s="1"/>
      <c r="H44" s="1"/>
      <c r="I44" s="1"/>
      <c r="J44" s="1"/>
      <c r="K44" s="1"/>
      <c r="L44" s="1"/>
      <c r="M44" s="1"/>
      <c r="N44" s="1"/>
    </row>
    <row r="45" spans="1:14" ht="22" customHeight="1" x14ac:dyDescent="0.35">
      <c r="A45" s="1"/>
      <c r="B45" s="1"/>
      <c r="C45" s="1"/>
      <c r="D45" s="1"/>
      <c r="E45" s="1"/>
      <c r="F45" s="1"/>
      <c r="G45" s="1"/>
      <c r="H45" s="1"/>
      <c r="I45" s="1"/>
      <c r="J45" s="1"/>
      <c r="K45" s="1"/>
      <c r="L45" s="1"/>
      <c r="M45" s="1"/>
      <c r="N45" s="1"/>
    </row>
    <row r="46" spans="1:14" ht="22" customHeight="1" x14ac:dyDescent="0.35">
      <c r="A46" s="1"/>
      <c r="B46" s="1"/>
      <c r="C46" s="1"/>
      <c r="D46" s="1"/>
      <c r="E46" s="1"/>
      <c r="F46" s="1"/>
      <c r="G46" s="1"/>
      <c r="H46" s="1"/>
      <c r="I46" s="1"/>
      <c r="J46" s="1"/>
      <c r="K46" s="1"/>
      <c r="L46" s="1"/>
      <c r="M46" s="1"/>
      <c r="N46" s="1"/>
    </row>
    <row r="47" spans="1:14" ht="22" customHeight="1" x14ac:dyDescent="0.35">
      <c r="A47" s="1"/>
      <c r="B47" s="1"/>
      <c r="C47" s="1"/>
      <c r="D47" s="1"/>
      <c r="E47" s="1"/>
      <c r="F47" s="1"/>
      <c r="G47" s="1"/>
      <c r="H47" s="1"/>
      <c r="I47" s="1"/>
      <c r="J47" s="1"/>
      <c r="K47" s="1"/>
      <c r="L47" s="1"/>
      <c r="M47" s="1"/>
      <c r="N47" s="1"/>
    </row>
    <row r="48" spans="1:14" ht="22" customHeight="1" x14ac:dyDescent="0.35">
      <c r="A48" s="1"/>
      <c r="B48" s="1"/>
      <c r="C48" s="1"/>
      <c r="D48" s="1"/>
      <c r="E48" s="1"/>
      <c r="F48" s="1"/>
      <c r="G48" s="1"/>
      <c r="H48" s="1"/>
      <c r="I48" s="1"/>
      <c r="J48" s="1"/>
      <c r="K48" s="1"/>
      <c r="L48" s="1"/>
      <c r="M48" s="1"/>
      <c r="N48" s="1"/>
    </row>
    <row r="49" spans="1:14" ht="22" customHeight="1" x14ac:dyDescent="0.35">
      <c r="A49" s="1"/>
      <c r="B49" s="1"/>
      <c r="C49" s="1"/>
      <c r="D49" s="1"/>
      <c r="E49" s="1"/>
      <c r="F49" s="1"/>
      <c r="G49" s="1"/>
      <c r="H49" s="1"/>
      <c r="I49" s="1"/>
      <c r="J49" s="1"/>
      <c r="K49" s="1"/>
      <c r="L49" s="1"/>
      <c r="M49" s="1"/>
      <c r="N49" s="1"/>
    </row>
    <row r="50" spans="1:14" ht="22" customHeight="1" x14ac:dyDescent="0.35">
      <c r="A50" s="1"/>
      <c r="B50" s="1"/>
      <c r="C50" s="1"/>
      <c r="D50" s="1"/>
      <c r="E50" s="1"/>
      <c r="F50" s="1"/>
      <c r="G50" s="1"/>
      <c r="H50" s="1"/>
      <c r="I50" s="1"/>
      <c r="J50" s="1"/>
      <c r="K50" s="1"/>
      <c r="L50" s="1"/>
      <c r="M50" s="1"/>
      <c r="N50" s="1"/>
    </row>
    <row r="51" spans="1:14" ht="22" customHeight="1" x14ac:dyDescent="0.35">
      <c r="A51" s="1"/>
      <c r="B51" s="1"/>
      <c r="C51" s="1"/>
      <c r="D51" s="1"/>
      <c r="E51" s="1"/>
      <c r="F51" s="1"/>
      <c r="G51" s="1"/>
      <c r="H51" s="1"/>
      <c r="I51" s="1"/>
      <c r="J51" s="1"/>
      <c r="K51" s="1"/>
      <c r="L51" s="1"/>
      <c r="M51" s="1"/>
      <c r="N51" s="1"/>
    </row>
  </sheetData>
  <mergeCells count="13">
    <mergeCell ref="A18:N18"/>
    <mergeCell ref="C14:D14"/>
    <mergeCell ref="G14:H14"/>
    <mergeCell ref="L14:N14"/>
    <mergeCell ref="C16:D16"/>
    <mergeCell ref="G16:H16"/>
    <mergeCell ref="L16:N16"/>
    <mergeCell ref="A7:C8"/>
    <mergeCell ref="E7:G8"/>
    <mergeCell ref="I7:M8"/>
    <mergeCell ref="A11:C12"/>
    <mergeCell ref="E11:G12"/>
    <mergeCell ref="I11:M12"/>
  </mergeCells>
  <pageMargins left="0.7" right="0.7" top="0.75" bottom="0.75" header="0.3" footer="0.3"/>
  <pageSetup scale="4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85" zoomScaleNormal="85" workbookViewId="0"/>
  </sheetViews>
  <sheetFormatPr defaultColWidth="14.453125" defaultRowHeight="14.5" x14ac:dyDescent="0.35"/>
  <cols>
    <col min="1" max="1" width="15" customWidth="1"/>
    <col min="2" max="2" width="29" customWidth="1"/>
    <col min="3" max="4" width="15" customWidth="1"/>
    <col min="5" max="5" width="32" customWidth="1"/>
    <col min="6" max="8" width="15" customWidth="1"/>
    <col min="9" max="26" width="8.7265625" customWidth="1"/>
  </cols>
  <sheetData>
    <row r="1" spans="1:8" ht="32" customHeight="1" x14ac:dyDescent="0.35">
      <c r="A1" s="1"/>
      <c r="B1" s="6" t="s">
        <v>419</v>
      </c>
      <c r="C1" s="6"/>
      <c r="D1" s="1"/>
      <c r="E1" s="6" t="s">
        <v>420</v>
      </c>
      <c r="F1" s="6"/>
      <c r="G1" s="1"/>
      <c r="H1" s="1"/>
    </row>
    <row r="2" spans="1:8" ht="22" customHeight="1" x14ac:dyDescent="0.35">
      <c r="A2" s="1"/>
      <c r="B2" s="1" t="s">
        <v>0</v>
      </c>
      <c r="C2" s="9">
        <v>45000</v>
      </c>
      <c r="D2" s="1"/>
      <c r="E2" s="1" t="s">
        <v>0</v>
      </c>
      <c r="F2" s="9"/>
      <c r="G2" s="1"/>
      <c r="H2" s="1"/>
    </row>
    <row r="3" spans="1:8" ht="22" customHeight="1" x14ac:dyDescent="0.35">
      <c r="A3" s="1"/>
      <c r="B3" s="1"/>
      <c r="C3" s="9"/>
      <c r="D3" s="1"/>
      <c r="E3" s="1"/>
      <c r="F3" s="9"/>
      <c r="G3" s="1"/>
      <c r="H3" s="1"/>
    </row>
    <row r="4" spans="1:8" ht="22" customHeight="1" x14ac:dyDescent="0.35">
      <c r="A4" s="1"/>
      <c r="B4" s="1" t="s">
        <v>1</v>
      </c>
      <c r="C4" s="9">
        <v>9000</v>
      </c>
      <c r="D4" s="1"/>
      <c r="E4" s="1" t="s">
        <v>1</v>
      </c>
      <c r="F4" s="9">
        <v>10000</v>
      </c>
      <c r="G4" s="1"/>
      <c r="H4" s="1"/>
    </row>
    <row r="5" spans="1:8" ht="22" customHeight="1" x14ac:dyDescent="0.35">
      <c r="A5" s="1"/>
      <c r="B5" s="1"/>
      <c r="C5" s="9"/>
      <c r="D5" s="1"/>
      <c r="E5" s="1"/>
      <c r="F5" s="9"/>
      <c r="G5" s="1"/>
      <c r="H5" s="1"/>
    </row>
    <row r="6" spans="1:8" ht="22" customHeight="1" x14ac:dyDescent="0.35">
      <c r="A6" s="1"/>
      <c r="B6" s="1" t="s">
        <v>2</v>
      </c>
      <c r="C6" s="9">
        <v>4300</v>
      </c>
      <c r="D6" s="1"/>
      <c r="E6" s="1" t="s">
        <v>2</v>
      </c>
      <c r="F6" s="9">
        <v>25000</v>
      </c>
      <c r="G6" s="1"/>
      <c r="H6" s="1"/>
    </row>
    <row r="7" spans="1:8" ht="22" customHeight="1" x14ac:dyDescent="0.35">
      <c r="A7" s="1"/>
      <c r="B7" s="1"/>
      <c r="C7" s="1"/>
      <c r="D7" s="1"/>
      <c r="E7" s="1"/>
      <c r="F7" s="1"/>
      <c r="G7" s="1"/>
      <c r="H7" s="1"/>
    </row>
    <row r="8" spans="1:8" ht="22" customHeight="1" x14ac:dyDescent="0.35">
      <c r="A8" s="1"/>
      <c r="B8" s="1"/>
      <c r="C8" s="1"/>
      <c r="D8" s="1"/>
      <c r="E8" s="1"/>
      <c r="F8" s="1"/>
      <c r="G8" s="1"/>
      <c r="H8" s="1"/>
    </row>
    <row r="9" spans="1:8" ht="22" customHeight="1" x14ac:dyDescent="0.35">
      <c r="A9" s="1"/>
      <c r="B9" s="1" t="s">
        <v>421</v>
      </c>
      <c r="C9" s="1"/>
      <c r="D9" s="1"/>
      <c r="E9" s="1"/>
      <c r="F9" s="1"/>
      <c r="G9" s="1"/>
      <c r="H9" s="1"/>
    </row>
    <row r="10" spans="1:8" ht="22" customHeight="1" x14ac:dyDescent="0.35">
      <c r="A10" s="1"/>
      <c r="B10" s="1" t="s">
        <v>422</v>
      </c>
      <c r="C10" s="1"/>
      <c r="D10" s="1"/>
      <c r="E10" s="1"/>
      <c r="F10" s="1"/>
      <c r="G10" s="1"/>
      <c r="H10" s="1"/>
    </row>
    <row r="11" spans="1:8" ht="22" customHeight="1" x14ac:dyDescent="0.35">
      <c r="A11" s="1"/>
      <c r="B11" s="1" t="s">
        <v>423</v>
      </c>
      <c r="C11" s="1"/>
      <c r="D11" s="1"/>
      <c r="E11" s="1"/>
      <c r="F11" s="1"/>
      <c r="G11" s="1"/>
      <c r="H11" s="1"/>
    </row>
    <row r="12" spans="1:8" ht="22" customHeight="1" x14ac:dyDescent="0.35">
      <c r="A12" s="1"/>
      <c r="B12" s="1"/>
      <c r="C12" s="1"/>
      <c r="D12" s="1"/>
      <c r="E12" s="1"/>
      <c r="F12" s="1"/>
      <c r="G12" s="1"/>
      <c r="H12" s="1"/>
    </row>
    <row r="13" spans="1:8" ht="22" customHeight="1" x14ac:dyDescent="0.35">
      <c r="A13" s="1"/>
      <c r="B13" s="1" t="s">
        <v>424</v>
      </c>
      <c r="C13" s="1"/>
      <c r="D13" s="1"/>
      <c r="E13" s="1"/>
      <c r="F13" s="1"/>
      <c r="G13" s="1"/>
      <c r="H13" s="1"/>
    </row>
    <row r="14" spans="1:8" ht="22" customHeight="1" x14ac:dyDescent="0.35">
      <c r="A14" s="1"/>
      <c r="B14" s="1"/>
      <c r="C14" s="1"/>
      <c r="D14" s="1"/>
      <c r="E14" s="1"/>
      <c r="F14" s="1"/>
      <c r="G14" s="1"/>
      <c r="H14" s="1"/>
    </row>
    <row r="15" spans="1:8" ht="22" customHeight="1" x14ac:dyDescent="0.35">
      <c r="A15" s="1"/>
      <c r="B15" s="1"/>
      <c r="C15" s="1"/>
      <c r="D15" s="1"/>
      <c r="E15" s="1"/>
      <c r="F15" s="1"/>
      <c r="G15" s="1"/>
      <c r="H15" s="1"/>
    </row>
    <row r="16" spans="1:8" ht="22" customHeight="1" x14ac:dyDescent="0.35">
      <c r="A16" s="1"/>
      <c r="B16" s="1"/>
      <c r="C16" s="1"/>
      <c r="D16" s="1"/>
      <c r="E16" s="1"/>
      <c r="F16" s="1"/>
      <c r="G16" s="1"/>
      <c r="H16" s="1"/>
    </row>
    <row r="17" spans="1:8" ht="22" customHeight="1" x14ac:dyDescent="0.35">
      <c r="A17" s="1"/>
      <c r="B17" s="1"/>
      <c r="C17" s="1"/>
      <c r="D17" s="1"/>
      <c r="E17" s="1"/>
      <c r="F17" s="1"/>
      <c r="G17" s="1"/>
      <c r="H17" s="1"/>
    </row>
    <row r="18" spans="1:8" ht="22" customHeight="1" x14ac:dyDescent="0.35">
      <c r="A18" s="1"/>
      <c r="B18" s="1"/>
      <c r="C18" s="1"/>
      <c r="D18" s="1"/>
      <c r="E18" s="1"/>
      <c r="F18" s="1"/>
      <c r="G18" s="1"/>
      <c r="H18" s="1"/>
    </row>
    <row r="19" spans="1:8" ht="14.25" customHeight="1" x14ac:dyDescent="0.35"/>
    <row r="20" spans="1:8" ht="14.25" customHeight="1" x14ac:dyDescent="0.35"/>
    <row r="21" spans="1:8" ht="14.25" customHeight="1" x14ac:dyDescent="0.35"/>
    <row r="22" spans="1:8" ht="14.25" customHeight="1" x14ac:dyDescent="0.35"/>
    <row r="23" spans="1:8" ht="14.25" customHeight="1" x14ac:dyDescent="0.35"/>
    <row r="24" spans="1:8" ht="14.25" customHeight="1" x14ac:dyDescent="0.35"/>
    <row r="25" spans="1:8" ht="14.25" customHeight="1" x14ac:dyDescent="0.35"/>
    <row r="26" spans="1:8" ht="14.25" customHeight="1" x14ac:dyDescent="0.35"/>
    <row r="27" spans="1:8" ht="14.25" customHeight="1" x14ac:dyDescent="0.35"/>
    <row r="28" spans="1:8" ht="14.25" customHeight="1" x14ac:dyDescent="0.35"/>
    <row r="29" spans="1:8" ht="14.25" customHeight="1" x14ac:dyDescent="0.35"/>
    <row r="30" spans="1:8" ht="14.25" customHeight="1" x14ac:dyDescent="0.35"/>
    <row r="31" spans="1:8" ht="14.25" customHeight="1" x14ac:dyDescent="0.35"/>
    <row r="32" spans="1:8"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47"/>
  <sheetViews>
    <sheetView showGridLines="0" zoomScale="85" zoomScaleNormal="85" workbookViewId="0"/>
  </sheetViews>
  <sheetFormatPr defaultRowHeight="14.5" x14ac:dyDescent="0.35"/>
  <cols>
    <col min="1" max="1" width="37" customWidth="1"/>
    <col min="2" max="4" width="21" customWidth="1"/>
    <col min="5" max="5" width="15" customWidth="1"/>
    <col min="6" max="6" width="37" customWidth="1"/>
    <col min="7" max="10" width="21" customWidth="1"/>
  </cols>
  <sheetData>
    <row r="1" spans="1:10" ht="24" customHeight="1" x14ac:dyDescent="0.35">
      <c r="A1" s="10" t="s">
        <v>449</v>
      </c>
      <c r="B1" s="4"/>
      <c r="C1" s="4"/>
      <c r="D1" s="4"/>
      <c r="E1" s="4"/>
      <c r="F1" s="4"/>
      <c r="G1" s="4"/>
      <c r="H1" s="4"/>
      <c r="I1" s="4"/>
      <c r="J1" s="4"/>
    </row>
    <row r="2" spans="1:10" ht="24" customHeight="1" x14ac:dyDescent="0.35">
      <c r="A2" s="4"/>
      <c r="B2" s="4"/>
      <c r="C2" s="4"/>
      <c r="D2" s="4"/>
      <c r="E2" s="4"/>
      <c r="F2" s="4"/>
      <c r="G2" s="4"/>
      <c r="H2" s="4"/>
      <c r="I2" s="4"/>
      <c r="J2" s="4"/>
    </row>
    <row r="3" spans="1:10" ht="24" customHeight="1" x14ac:dyDescent="0.35">
      <c r="A3" s="4"/>
      <c r="B3" s="4"/>
      <c r="C3" s="4"/>
      <c r="D3" s="4"/>
      <c r="E3" s="4"/>
      <c r="F3" s="4"/>
      <c r="G3" s="4"/>
      <c r="H3" s="4"/>
      <c r="I3" s="4"/>
      <c r="J3" s="4"/>
    </row>
    <row r="4" spans="1:10" ht="22" customHeight="1" x14ac:dyDescent="0.35">
      <c r="A4" s="1"/>
      <c r="B4" s="1"/>
      <c r="C4" s="1"/>
      <c r="D4" s="1"/>
      <c r="E4" s="1"/>
      <c r="F4" s="1"/>
      <c r="G4" s="1"/>
      <c r="H4" s="1"/>
      <c r="I4" s="1"/>
      <c r="J4" s="1"/>
    </row>
    <row r="5" spans="1:10" ht="32" customHeight="1" x14ac:dyDescent="0.35">
      <c r="A5" s="6" t="s">
        <v>450</v>
      </c>
      <c r="B5" s="6" t="s">
        <v>451</v>
      </c>
      <c r="C5" s="6" t="s">
        <v>452</v>
      </c>
      <c r="D5" s="6" t="s">
        <v>453</v>
      </c>
      <c r="E5" s="1"/>
      <c r="F5" s="1" t="s">
        <v>454</v>
      </c>
      <c r="G5" s="1"/>
      <c r="H5" s="1"/>
      <c r="I5" s="1"/>
      <c r="J5" s="1"/>
    </row>
    <row r="6" spans="1:10" ht="22" customHeight="1" x14ac:dyDescent="0.35">
      <c r="A6" s="7">
        <f>EDATE('Monthly Summary'!$A$30,1)</f>
        <v>45627</v>
      </c>
      <c r="B6" s="12">
        <f>_xlfn.FORECAST.ETS(A6,'Monthly Summary'!$B$7:$B$29,'Monthly Summary'!$A$7:$A$29,0,1,1)</f>
        <v>5.0390425534469436</v>
      </c>
      <c r="C6" s="13">
        <f t="shared" ref="C6:C17" si="0">MAX(0,ROUND(B6,0))</f>
        <v>5</v>
      </c>
      <c r="D6" s="2">
        <f t="shared" ref="D6:D17" si="1">C6*$B$22</f>
        <v>2415</v>
      </c>
      <c r="E6" s="1"/>
      <c r="F6" s="30" t="s">
        <v>455</v>
      </c>
      <c r="G6" s="30"/>
      <c r="H6" s="30"/>
      <c r="I6" s="30"/>
      <c r="J6" s="30"/>
    </row>
    <row r="7" spans="1:10" ht="22" customHeight="1" x14ac:dyDescent="0.35">
      <c r="A7" s="7">
        <f>EDATE('Monthly Summary'!$A$30,2)</f>
        <v>45658</v>
      </c>
      <c r="B7" s="12">
        <f>_xlfn.FORECAST.ETS(A7,'Monthly Summary'!$B$7:$B$29,'Monthly Summary'!$A$7:$A$29,0,1,1)</f>
        <v>5.0801478265152973</v>
      </c>
      <c r="C7" s="13">
        <f t="shared" si="0"/>
        <v>5</v>
      </c>
      <c r="D7" s="2">
        <f t="shared" si="1"/>
        <v>2415</v>
      </c>
      <c r="E7" s="1"/>
      <c r="F7" s="30"/>
      <c r="G7" s="30"/>
      <c r="H7" s="30"/>
      <c r="I7" s="30"/>
      <c r="J7" s="30"/>
    </row>
    <row r="8" spans="1:10" ht="22" customHeight="1" x14ac:dyDescent="0.35">
      <c r="A8" s="7">
        <f>EDATE('Monthly Summary'!$A$30,3)</f>
        <v>45689</v>
      </c>
      <c r="B8" s="12">
        <f>_xlfn.FORECAST.ETS(A8,'Monthly Summary'!$B$7:$B$29,'Monthly Summary'!$A$7:$A$29,0,1,1)</f>
        <v>5.1212530995836589</v>
      </c>
      <c r="C8" s="13">
        <f t="shared" si="0"/>
        <v>5</v>
      </c>
      <c r="D8" s="2">
        <f t="shared" si="1"/>
        <v>2415</v>
      </c>
      <c r="E8" s="1"/>
      <c r="F8" s="1" t="s">
        <v>456</v>
      </c>
      <c r="G8" s="1"/>
      <c r="H8" s="1"/>
      <c r="I8" s="1"/>
      <c r="J8" s="1"/>
    </row>
    <row r="9" spans="1:10" ht="22" customHeight="1" x14ac:dyDescent="0.35">
      <c r="A9" s="7">
        <f>EDATE('Monthly Summary'!$A$30,4)</f>
        <v>45717</v>
      </c>
      <c r="B9" s="12">
        <f>_xlfn.FORECAST.ETS(A9,'Monthly Summary'!$B$7:$B$29,'Monthly Summary'!$A$7:$A$29,0,1,1)</f>
        <v>5.1623583726520126</v>
      </c>
      <c r="C9" s="13">
        <f t="shared" si="0"/>
        <v>5</v>
      </c>
      <c r="D9" s="2">
        <f t="shared" si="1"/>
        <v>2415</v>
      </c>
      <c r="E9" s="1"/>
      <c r="F9" s="30" t="s">
        <v>457</v>
      </c>
      <c r="G9" s="30"/>
      <c r="H9" s="30"/>
      <c r="I9" s="30"/>
      <c r="J9" s="30"/>
    </row>
    <row r="10" spans="1:10" ht="22" customHeight="1" x14ac:dyDescent="0.35">
      <c r="A10" s="7">
        <f>EDATE('Monthly Summary'!$A$30,5)</f>
        <v>45748</v>
      </c>
      <c r="B10" s="12">
        <f>_xlfn.FORECAST.ETS(A10,'Monthly Summary'!$B$7:$B$29,'Monthly Summary'!$A$7:$A$29,0,1,1)</f>
        <v>5.2034636457203742</v>
      </c>
      <c r="C10" s="13">
        <f t="shared" si="0"/>
        <v>5</v>
      </c>
      <c r="D10" s="2">
        <f t="shared" si="1"/>
        <v>2415</v>
      </c>
      <c r="E10" s="1"/>
      <c r="F10" s="30"/>
      <c r="G10" s="30"/>
      <c r="H10" s="30"/>
      <c r="I10" s="30"/>
      <c r="J10" s="30"/>
    </row>
    <row r="11" spans="1:10" ht="22" customHeight="1" x14ac:dyDescent="0.35">
      <c r="A11" s="7">
        <f>EDATE('Monthly Summary'!$A$30,6)</f>
        <v>45778</v>
      </c>
      <c r="B11" s="12">
        <f>_xlfn.FORECAST.ETS(A11,'Monthly Summary'!$B$7:$B$29,'Monthly Summary'!$A$7:$A$29,0,1,1)</f>
        <v>5.2445689187887279</v>
      </c>
      <c r="C11" s="13">
        <f t="shared" si="0"/>
        <v>5</v>
      </c>
      <c r="D11" s="2">
        <f t="shared" si="1"/>
        <v>2415</v>
      </c>
      <c r="E11" s="1"/>
      <c r="F11" s="1" t="s">
        <v>458</v>
      </c>
      <c r="G11" s="1"/>
      <c r="H11" s="1"/>
      <c r="I11" s="1"/>
      <c r="J11" s="1"/>
    </row>
    <row r="12" spans="1:10" ht="22" customHeight="1" x14ac:dyDescent="0.35">
      <c r="A12" s="7">
        <f>EDATE('Monthly Summary'!$A$30,7)</f>
        <v>45809</v>
      </c>
      <c r="B12" s="12">
        <f>_xlfn.FORECAST.ETS(A12,'Monthly Summary'!$B$7:$B$29,'Monthly Summary'!$A$7:$A$29,0,1,1)</f>
        <v>5.2856741918570895</v>
      </c>
      <c r="C12" s="13">
        <f t="shared" si="0"/>
        <v>5</v>
      </c>
      <c r="D12" s="2">
        <f t="shared" si="1"/>
        <v>2415</v>
      </c>
      <c r="E12" s="1"/>
      <c r="F12" s="30" t="s">
        <v>459</v>
      </c>
      <c r="G12" s="30"/>
      <c r="H12" s="30"/>
      <c r="I12" s="30"/>
      <c r="J12" s="30"/>
    </row>
    <row r="13" spans="1:10" ht="22" customHeight="1" x14ac:dyDescent="0.35">
      <c r="A13" s="7">
        <f>EDATE('Monthly Summary'!$A$30,8)</f>
        <v>45839</v>
      </c>
      <c r="B13" s="12">
        <f>_xlfn.FORECAST.ETS(A13,'Monthly Summary'!$B$7:$B$29,'Monthly Summary'!$A$7:$A$29,0,1,1)</f>
        <v>5.3267794649254432</v>
      </c>
      <c r="C13" s="13">
        <f t="shared" si="0"/>
        <v>5</v>
      </c>
      <c r="D13" s="2">
        <f t="shared" si="1"/>
        <v>2415</v>
      </c>
      <c r="E13" s="1"/>
      <c r="F13" s="30"/>
      <c r="G13" s="30"/>
      <c r="H13" s="30"/>
      <c r="I13" s="30"/>
      <c r="J13" s="30"/>
    </row>
    <row r="14" spans="1:10" ht="22" customHeight="1" x14ac:dyDescent="0.35">
      <c r="A14" s="7">
        <f>EDATE('Monthly Summary'!$A$30,9)</f>
        <v>45870</v>
      </c>
      <c r="B14" s="12">
        <f>_xlfn.FORECAST.ETS(A14,'Monthly Summary'!$B$7:$B$29,'Monthly Summary'!$A$7:$A$29,0,1,1)</f>
        <v>5.3678847379938048</v>
      </c>
      <c r="C14" s="13">
        <f t="shared" si="0"/>
        <v>5</v>
      </c>
      <c r="D14" s="2">
        <f t="shared" si="1"/>
        <v>2415</v>
      </c>
      <c r="E14" s="1"/>
      <c r="F14" s="1" t="s">
        <v>460</v>
      </c>
      <c r="G14" s="1"/>
      <c r="H14" s="1"/>
      <c r="I14" s="1"/>
      <c r="J14" s="1"/>
    </row>
    <row r="15" spans="1:10" ht="22" customHeight="1" x14ac:dyDescent="0.35">
      <c r="A15" s="7">
        <f>EDATE('Monthly Summary'!$A$30,10)</f>
        <v>45901</v>
      </c>
      <c r="B15" s="12">
        <f>_xlfn.FORECAST.ETS(A15,'Monthly Summary'!$B$7:$B$29,'Monthly Summary'!$A$7:$A$29,0,1,1)</f>
        <v>5.4089900110621585</v>
      </c>
      <c r="C15" s="13">
        <f t="shared" si="0"/>
        <v>5</v>
      </c>
      <c r="D15" s="2">
        <f t="shared" si="1"/>
        <v>2415</v>
      </c>
      <c r="E15" s="1"/>
      <c r="F15" s="30" t="s">
        <v>461</v>
      </c>
      <c r="G15" s="30"/>
      <c r="H15" s="30"/>
      <c r="I15" s="30"/>
      <c r="J15" s="30"/>
    </row>
    <row r="16" spans="1:10" ht="22" customHeight="1" x14ac:dyDescent="0.35">
      <c r="A16" s="7">
        <f>EDATE('Monthly Summary'!$A$30,11)</f>
        <v>45931</v>
      </c>
      <c r="B16" s="12">
        <f>_xlfn.FORECAST.ETS(A16,'Monthly Summary'!$B$7:$B$29,'Monthly Summary'!$A$7:$A$29,0,1,1)</f>
        <v>5.4500952841305201</v>
      </c>
      <c r="C16" s="13">
        <f t="shared" si="0"/>
        <v>5</v>
      </c>
      <c r="D16" s="2">
        <f t="shared" si="1"/>
        <v>2415</v>
      </c>
      <c r="E16" s="1"/>
      <c r="F16" s="30"/>
      <c r="G16" s="30"/>
      <c r="H16" s="30"/>
      <c r="I16" s="30"/>
      <c r="J16" s="30"/>
    </row>
    <row r="17" spans="1:10" ht="22" customHeight="1" x14ac:dyDescent="0.35">
      <c r="A17" s="7">
        <f>EDATE('Monthly Summary'!$A$30,12)</f>
        <v>45962</v>
      </c>
      <c r="B17" s="12">
        <f>_xlfn.FORECAST.ETS(A17,'Monthly Summary'!$B$7:$B$29,'Monthly Summary'!$A$7:$A$29,0,1,1)</f>
        <v>5.4912005571988738</v>
      </c>
      <c r="C17" s="13">
        <f t="shared" si="0"/>
        <v>5</v>
      </c>
      <c r="D17" s="2">
        <f t="shared" si="1"/>
        <v>2415</v>
      </c>
      <c r="E17" s="1"/>
      <c r="F17" s="1" t="s">
        <v>462</v>
      </c>
      <c r="G17" s="1"/>
      <c r="H17" s="1"/>
      <c r="I17" s="1"/>
      <c r="J17" s="1"/>
    </row>
    <row r="18" spans="1:10" ht="22" customHeight="1" x14ac:dyDescent="0.35">
      <c r="A18" s="1"/>
      <c r="B18" s="1"/>
      <c r="C18" s="1"/>
      <c r="D18" s="1"/>
      <c r="E18" s="1"/>
      <c r="F18" s="30" t="s">
        <v>463</v>
      </c>
      <c r="G18" s="30"/>
      <c r="H18" s="30"/>
      <c r="I18" s="30"/>
      <c r="J18" s="30"/>
    </row>
    <row r="19" spans="1:10" ht="32" customHeight="1" x14ac:dyDescent="0.35">
      <c r="A19" s="6" t="s">
        <v>464</v>
      </c>
      <c r="B19" s="22">
        <f>SUM(B6:B17)</f>
        <v>63.181458663874906</v>
      </c>
      <c r="C19" s="23">
        <f>SUM(C6:C17)</f>
        <v>60</v>
      </c>
      <c r="D19" s="24">
        <f>SUM(D6:D17)</f>
        <v>28980</v>
      </c>
      <c r="E19" s="1"/>
      <c r="F19" s="30"/>
      <c r="G19" s="30"/>
      <c r="H19" s="30"/>
      <c r="I19" s="30"/>
      <c r="J19" s="30"/>
    </row>
    <row r="20" spans="1:10" ht="22" customHeight="1" x14ac:dyDescent="0.35">
      <c r="A20" s="1"/>
      <c r="B20" s="1"/>
      <c r="C20" s="1"/>
      <c r="D20" s="1"/>
      <c r="E20" s="1"/>
      <c r="F20" s="1" t="s">
        <v>465</v>
      </c>
      <c r="G20" s="1"/>
      <c r="H20" s="1"/>
      <c r="I20" s="1"/>
      <c r="J20" s="1"/>
    </row>
    <row r="21" spans="1:10" ht="32" customHeight="1" x14ac:dyDescent="0.35">
      <c r="A21" s="6" t="s">
        <v>466</v>
      </c>
      <c r="B21" s="6" t="s">
        <v>467</v>
      </c>
      <c r="C21" s="6"/>
      <c r="D21" s="6" t="s">
        <v>468</v>
      </c>
      <c r="E21" s="1"/>
      <c r="F21" s="30" t="s">
        <v>469</v>
      </c>
      <c r="G21" s="30"/>
      <c r="H21" s="30"/>
      <c r="I21" s="30"/>
      <c r="J21" s="30"/>
    </row>
    <row r="22" spans="1:10" ht="22" customHeight="1" x14ac:dyDescent="0.35">
      <c r="A22" s="1" t="s">
        <v>470</v>
      </c>
      <c r="B22" s="2">
        <f>'Monthly Summary'!D32</f>
        <v>483</v>
      </c>
      <c r="C22" s="1"/>
      <c r="D22" s="2">
        <f>'Monthly Summary'!D32</f>
        <v>483</v>
      </c>
      <c r="E22" s="1"/>
      <c r="F22" s="30"/>
      <c r="G22" s="30"/>
      <c r="H22" s="30"/>
      <c r="I22" s="30"/>
      <c r="J22" s="30"/>
    </row>
    <row r="23" spans="1:10" ht="22" customHeight="1" x14ac:dyDescent="0.35">
      <c r="A23" s="1" t="s">
        <v>471</v>
      </c>
      <c r="B23" s="13">
        <f>$C$19</f>
        <v>60</v>
      </c>
      <c r="C23" s="1"/>
      <c r="D23" s="13">
        <f>$C$19</f>
        <v>60</v>
      </c>
      <c r="E23" s="1"/>
      <c r="F23" s="1" t="s">
        <v>472</v>
      </c>
      <c r="G23" s="1"/>
      <c r="H23" s="1"/>
      <c r="I23" s="1"/>
      <c r="J23" s="1"/>
    </row>
    <row r="24" spans="1:10" ht="22" customHeight="1" x14ac:dyDescent="0.35">
      <c r="A24" s="1" t="s">
        <v>473</v>
      </c>
      <c r="B24" s="2">
        <f>B22*B23</f>
        <v>28980</v>
      </c>
      <c r="C24" s="1"/>
      <c r="D24" s="2">
        <f>D22*D23</f>
        <v>28980</v>
      </c>
      <c r="E24" s="1"/>
      <c r="F24" s="30" t="s">
        <v>474</v>
      </c>
      <c r="G24" s="30"/>
      <c r="H24" s="30"/>
      <c r="I24" s="30"/>
      <c r="J24" s="30"/>
    </row>
    <row r="25" spans="1:10" ht="22" customHeight="1" x14ac:dyDescent="0.35">
      <c r="A25" s="1" t="s">
        <v>475</v>
      </c>
      <c r="B25" s="2">
        <f>Assumptions!C4</f>
        <v>9000</v>
      </c>
      <c r="C25" s="1"/>
      <c r="D25" s="2">
        <f>Assumptions!F4</f>
        <v>10000</v>
      </c>
      <c r="E25" s="1"/>
      <c r="F25" s="30"/>
      <c r="G25" s="30"/>
      <c r="H25" s="30"/>
      <c r="I25" s="30"/>
      <c r="J25" s="30"/>
    </row>
    <row r="26" spans="1:10" ht="22" customHeight="1" x14ac:dyDescent="0.35">
      <c r="A26" s="1" t="s">
        <v>476</v>
      </c>
      <c r="B26" s="2">
        <f>Assumptions!C6</f>
        <v>4300</v>
      </c>
      <c r="C26" s="1"/>
      <c r="D26" s="2">
        <f>Assumptions!F6</f>
        <v>25000</v>
      </c>
      <c r="E26" s="1"/>
      <c r="F26" s="1" t="s">
        <v>477</v>
      </c>
      <c r="G26" s="1"/>
      <c r="H26" s="1"/>
      <c r="I26" s="1"/>
      <c r="J26" s="1"/>
    </row>
    <row r="27" spans="1:10" ht="22" customHeight="1" x14ac:dyDescent="0.35">
      <c r="A27" s="1" t="s">
        <v>478</v>
      </c>
      <c r="B27" s="2">
        <f>B24-SUM(B25:B26)</f>
        <v>15680</v>
      </c>
      <c r="C27" s="1"/>
      <c r="D27" s="2">
        <f>D24-SUM(D25:D26)</f>
        <v>-6020</v>
      </c>
      <c r="E27" s="1"/>
      <c r="F27" s="30" t="s">
        <v>479</v>
      </c>
      <c r="G27" s="30"/>
      <c r="H27" s="30"/>
      <c r="I27" s="30"/>
      <c r="J27" s="30"/>
    </row>
    <row r="28" spans="1:10" ht="22" customHeight="1" x14ac:dyDescent="0.35">
      <c r="A28" s="1" t="s">
        <v>435</v>
      </c>
      <c r="B28" s="2">
        <f>IF(ISNUMBER(Assumptions!C2),Assumptions!C2,"Enter target")</f>
        <v>45000</v>
      </c>
      <c r="C28" s="1"/>
      <c r="D28" s="2" t="str">
        <f>IF(ISNUMBER(Assumptions!F2),Assumptions!F2,"Enter target")</f>
        <v>Enter target</v>
      </c>
      <c r="E28" s="1"/>
      <c r="F28" s="30"/>
      <c r="G28" s="30"/>
      <c r="H28" s="30"/>
      <c r="I28" s="30"/>
      <c r="J28" s="30"/>
    </row>
    <row r="29" spans="1:10" ht="22" customHeight="1" x14ac:dyDescent="0.35">
      <c r="A29" s="1" t="s">
        <v>480</v>
      </c>
      <c r="B29" s="2">
        <f>IF(ISNUMBER(B28),B27-B28,"Enter target")</f>
        <v>-29320</v>
      </c>
      <c r="C29" s="1"/>
      <c r="D29" s="2" t="str">
        <f>IF(ISNUMBER(D28),D27-D28,"Enter target")</f>
        <v>Enter target</v>
      </c>
      <c r="E29" s="1"/>
      <c r="F29" s="1" t="s">
        <v>481</v>
      </c>
      <c r="G29" s="1"/>
      <c r="H29" s="1"/>
      <c r="I29" s="1"/>
      <c r="J29" s="1"/>
    </row>
    <row r="30" spans="1:10" ht="22" customHeight="1" x14ac:dyDescent="0.35">
      <c r="A30" s="1"/>
      <c r="B30" s="2"/>
      <c r="C30" s="1"/>
      <c r="D30" s="2"/>
      <c r="E30" s="1"/>
      <c r="F30" s="30" t="s">
        <v>482</v>
      </c>
      <c r="G30" s="30"/>
      <c r="H30" s="30"/>
      <c r="I30" s="30"/>
      <c r="J30" s="30"/>
    </row>
    <row r="31" spans="1:10" ht="22" customHeight="1" x14ac:dyDescent="0.35">
      <c r="A31" s="1"/>
      <c r="B31" s="2"/>
      <c r="C31" s="1"/>
      <c r="D31" s="2"/>
      <c r="E31" s="1"/>
      <c r="F31" s="30"/>
      <c r="G31" s="30"/>
      <c r="H31" s="30"/>
      <c r="I31" s="30"/>
      <c r="J31" s="30"/>
    </row>
    <row r="32" spans="1:10" ht="22" customHeight="1" x14ac:dyDescent="0.35">
      <c r="A32" s="1" t="s">
        <v>483</v>
      </c>
      <c r="B32" s="9">
        <v>971.66666666666674</v>
      </c>
      <c r="C32" s="1"/>
      <c r="D32" s="9">
        <v>483</v>
      </c>
      <c r="E32" s="1"/>
      <c r="F32" s="1"/>
      <c r="G32" s="1"/>
      <c r="H32" s="1"/>
      <c r="I32" s="1"/>
      <c r="J32" s="1"/>
    </row>
    <row r="33" spans="1:10" ht="22" customHeight="1" x14ac:dyDescent="0.35">
      <c r="A33" s="1" t="s">
        <v>484</v>
      </c>
      <c r="B33" s="2">
        <f>B32*B23-SUM(B25:B26)</f>
        <v>45000.000000000007</v>
      </c>
      <c r="C33" s="1"/>
      <c r="D33" s="2">
        <f>D32*D23-SUM(D25:D26)</f>
        <v>-6020</v>
      </c>
      <c r="E33" s="1"/>
      <c r="F33" s="1"/>
      <c r="G33" s="1"/>
      <c r="H33" s="1"/>
      <c r="I33" s="1"/>
      <c r="J33" s="1"/>
    </row>
    <row r="34" spans="1:10" ht="22" customHeight="1" x14ac:dyDescent="0.35">
      <c r="A34" s="1" t="s">
        <v>485</v>
      </c>
      <c r="B34" s="2">
        <f>IF(ISNUMBER(B28),(B28+SUM(B25:B26))/B23,"Enter target")</f>
        <v>971.66666666666663</v>
      </c>
      <c r="C34" s="1"/>
      <c r="D34" s="2" t="str">
        <f>IF(ISNUMBER(D28),(D28+SUM(D25:D26))/D23,"Enter target")</f>
        <v>Enter target</v>
      </c>
      <c r="E34" s="1"/>
      <c r="F34" s="1"/>
      <c r="G34" s="1"/>
      <c r="H34" s="1"/>
      <c r="I34" s="1"/>
      <c r="J34" s="1"/>
    </row>
    <row r="35" spans="1:10" ht="22" customHeight="1" x14ac:dyDescent="0.35">
      <c r="A35" s="1"/>
      <c r="B35" s="2"/>
      <c r="C35" s="1"/>
      <c r="D35" s="2"/>
      <c r="E35" s="1"/>
      <c r="F35" s="1"/>
      <c r="G35" s="1"/>
      <c r="H35" s="1"/>
      <c r="I35" s="1"/>
      <c r="J35" s="1"/>
    </row>
    <row r="36" spans="1:10" ht="22" customHeight="1" x14ac:dyDescent="0.35">
      <c r="A36" s="1" t="s">
        <v>486</v>
      </c>
      <c r="B36" s="21">
        <v>120.70393374741201</v>
      </c>
      <c r="C36" s="1"/>
      <c r="D36" s="21">
        <v>100</v>
      </c>
      <c r="E36" s="1"/>
      <c r="F36" s="1"/>
      <c r="G36" s="1"/>
      <c r="H36" s="1"/>
      <c r="I36" s="1"/>
      <c r="J36" s="1"/>
    </row>
    <row r="37" spans="1:10" ht="22" customHeight="1" x14ac:dyDescent="0.35">
      <c r="A37" s="1" t="s">
        <v>487</v>
      </c>
      <c r="B37" s="2">
        <f>B36*B22-SUM(B25:B26)</f>
        <v>45000</v>
      </c>
      <c r="C37" s="1"/>
      <c r="D37" s="2">
        <f>D36*D22-SUM(D25:D26)</f>
        <v>13300</v>
      </c>
      <c r="E37" s="1"/>
      <c r="F37" s="1"/>
      <c r="G37" s="1"/>
      <c r="H37" s="1"/>
      <c r="I37" s="1"/>
      <c r="J37" s="1"/>
    </row>
    <row r="38" spans="1:10" ht="22" customHeight="1" x14ac:dyDescent="0.35">
      <c r="A38" s="1" t="s">
        <v>488</v>
      </c>
      <c r="B38" s="13">
        <f>IF(ISNUMBER(B28),ROUNDUP((B28+SUM(B25:B26))/B22,0),"Enter target")</f>
        <v>121</v>
      </c>
      <c r="C38" s="1"/>
      <c r="D38" s="13" t="str">
        <f>IF(ISNUMBER(D28),ROUNDUP((D28+SUM(D25:D26))/D22,0),"Enter target")</f>
        <v>Enter target</v>
      </c>
      <c r="E38" s="1"/>
      <c r="F38" s="1"/>
      <c r="G38" s="1"/>
      <c r="H38" s="1"/>
      <c r="I38" s="1"/>
      <c r="J38" s="1"/>
    </row>
    <row r="39" spans="1:10" ht="22" customHeight="1" x14ac:dyDescent="0.35">
      <c r="A39" s="1" t="s">
        <v>489</v>
      </c>
      <c r="B39" s="2">
        <f>IF(ISNUMBER(B38),B38*B22-SUM(B25:B26),"Enter target")</f>
        <v>45143</v>
      </c>
      <c r="C39" s="1"/>
      <c r="D39" s="2" t="str">
        <f>IF(ISNUMBER(D38),D38*D22-SUM(D25:D26),"Enter target")</f>
        <v>Enter target</v>
      </c>
      <c r="E39" s="1"/>
      <c r="F39" s="1"/>
      <c r="G39" s="1"/>
      <c r="H39" s="1"/>
      <c r="I39" s="1"/>
      <c r="J39" s="1"/>
    </row>
    <row r="40" spans="1:10" ht="22" customHeight="1" x14ac:dyDescent="0.35">
      <c r="A40" s="1"/>
      <c r="B40" s="1"/>
      <c r="C40" s="1"/>
      <c r="D40" s="1"/>
      <c r="E40" s="1"/>
      <c r="F40" s="1"/>
      <c r="G40" s="1"/>
      <c r="H40" s="1"/>
      <c r="I40" s="1"/>
      <c r="J40" s="1"/>
    </row>
    <row r="41" spans="1:10" ht="22" customHeight="1" x14ac:dyDescent="0.35">
      <c r="A41" s="1"/>
      <c r="B41" s="1"/>
      <c r="C41" s="1"/>
      <c r="D41" s="1"/>
      <c r="E41" s="1"/>
      <c r="F41" s="1"/>
      <c r="G41" s="1"/>
      <c r="H41" s="1"/>
      <c r="I41" s="1"/>
      <c r="J41" s="1"/>
    </row>
    <row r="42" spans="1:10" ht="22" customHeight="1" x14ac:dyDescent="0.35">
      <c r="A42" s="1"/>
      <c r="B42" s="1"/>
      <c r="C42" s="1"/>
      <c r="D42" s="1"/>
      <c r="E42" s="1"/>
      <c r="F42" s="1"/>
      <c r="G42" s="1"/>
      <c r="H42" s="1"/>
      <c r="I42" s="1"/>
      <c r="J42" s="1"/>
    </row>
    <row r="43" spans="1:10" ht="22" customHeight="1" x14ac:dyDescent="0.35">
      <c r="A43" s="1"/>
      <c r="B43" s="1"/>
      <c r="C43" s="1"/>
      <c r="D43" s="1"/>
      <c r="E43" s="1"/>
      <c r="F43" s="1"/>
      <c r="G43" s="1"/>
      <c r="H43" s="1"/>
      <c r="I43" s="1"/>
      <c r="J43" s="1"/>
    </row>
    <row r="44" spans="1:10" ht="22" customHeight="1" x14ac:dyDescent="0.35">
      <c r="A44" s="1"/>
      <c r="B44" s="1"/>
      <c r="C44" s="1"/>
      <c r="D44" s="1"/>
      <c r="E44" s="1"/>
      <c r="F44" s="1"/>
      <c r="G44" s="1"/>
      <c r="H44" s="1"/>
      <c r="I44" s="1"/>
      <c r="J44" s="1"/>
    </row>
    <row r="45" spans="1:10" ht="22" customHeight="1" x14ac:dyDescent="0.35">
      <c r="A45" s="1"/>
      <c r="B45" s="1"/>
      <c r="C45" s="1"/>
      <c r="D45" s="1"/>
      <c r="E45" s="1"/>
      <c r="F45" s="1"/>
      <c r="G45" s="1"/>
      <c r="H45" s="1"/>
      <c r="I45" s="1"/>
      <c r="J45" s="1"/>
    </row>
    <row r="46" spans="1:10" ht="22" customHeight="1" x14ac:dyDescent="0.35">
      <c r="A46" s="1"/>
      <c r="B46" s="1"/>
      <c r="C46" s="1"/>
      <c r="D46" s="1"/>
      <c r="E46" s="1"/>
      <c r="F46" s="1"/>
      <c r="G46" s="1"/>
      <c r="H46" s="1"/>
      <c r="I46" s="1"/>
      <c r="J46" s="1"/>
    </row>
    <row r="47" spans="1:10" ht="22" customHeight="1" x14ac:dyDescent="0.35">
      <c r="A47" s="1"/>
      <c r="B47" s="1"/>
      <c r="C47" s="1"/>
      <c r="D47" s="1"/>
      <c r="E47" s="1"/>
      <c r="F47" s="1"/>
      <c r="G47" s="1"/>
      <c r="H47" s="1"/>
      <c r="I47" s="1"/>
      <c r="J47" s="1"/>
    </row>
  </sheetData>
  <mergeCells count="9">
    <mergeCell ref="F21:J22"/>
    <mergeCell ref="F24:J25"/>
    <mergeCell ref="F27:J28"/>
    <mergeCell ref="F30:J31"/>
    <mergeCell ref="F6:J7"/>
    <mergeCell ref="F9:J10"/>
    <mergeCell ref="F12:J13"/>
    <mergeCell ref="F15:J16"/>
    <mergeCell ref="F18:J19"/>
  </mergeCells>
  <pageMargins left="0.7" right="0.7" top="0.75" bottom="0.75" header="0.3" footer="0.3"/>
  <pageSetup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33"/>
  <sheetViews>
    <sheetView showGridLines="0" zoomScale="85" zoomScaleNormal="85" workbookViewId="0">
      <pane ySplit="5" topLeftCell="A6" activePane="bottomLeft" state="frozen"/>
      <selection pane="bottomLeft"/>
    </sheetView>
  </sheetViews>
  <sheetFormatPr defaultRowHeight="14.5" x14ac:dyDescent="0.35"/>
  <cols>
    <col min="1" max="1" width="21" customWidth="1"/>
    <col min="2" max="6" width="22" customWidth="1"/>
  </cols>
  <sheetData>
    <row r="1" spans="1:6" ht="24" customHeight="1" x14ac:dyDescent="0.35">
      <c r="A1" s="10" t="s">
        <v>440</v>
      </c>
      <c r="B1" s="4"/>
      <c r="C1" s="4"/>
      <c r="D1" s="4"/>
      <c r="E1" s="4"/>
      <c r="F1" s="4"/>
    </row>
    <row r="2" spans="1:6" ht="24" customHeight="1" x14ac:dyDescent="0.35">
      <c r="A2" s="4"/>
      <c r="B2" s="4"/>
      <c r="C2" s="4"/>
      <c r="D2" s="4"/>
      <c r="E2" s="4"/>
      <c r="F2" s="4"/>
    </row>
    <row r="3" spans="1:6" ht="24" customHeight="1" x14ac:dyDescent="0.35">
      <c r="A3" s="4"/>
      <c r="B3" s="4"/>
      <c r="C3" s="4"/>
      <c r="D3" s="4"/>
      <c r="E3" s="4"/>
      <c r="F3" s="4"/>
    </row>
    <row r="4" spans="1:6" ht="22" customHeight="1" x14ac:dyDescent="0.35">
      <c r="A4" s="1"/>
      <c r="B4" s="1"/>
      <c r="C4" s="1"/>
      <c r="D4" s="1"/>
      <c r="E4" s="1"/>
      <c r="F4" s="1"/>
    </row>
    <row r="5" spans="1:6" ht="32" customHeight="1" x14ac:dyDescent="0.35">
      <c r="A5" s="6" t="s">
        <v>441</v>
      </c>
      <c r="B5" s="6" t="s">
        <v>442</v>
      </c>
      <c r="C5" s="6" t="s">
        <v>443</v>
      </c>
      <c r="D5" s="6" t="s">
        <v>444</v>
      </c>
      <c r="E5" s="6" t="s">
        <v>445</v>
      </c>
      <c r="F5" s="6" t="s">
        <v>446</v>
      </c>
    </row>
    <row r="6" spans="1:6" ht="22" customHeight="1" x14ac:dyDescent="0.35">
      <c r="A6" s="7">
        <v>44866</v>
      </c>
      <c r="B6" s="1">
        <f>COUNTIFS(Attendees[Registration Date],"&gt;="&amp;A6,Attendees[Registration Date],"&lt;"&amp;EDATE(A6,1))</f>
        <v>1</v>
      </c>
      <c r="C6" s="2">
        <f>SUMIFS(Attendees[Ticket Price (€)],Attendees[Registration Date],"&gt;="&amp;A6,Attendees[Registration Date],"&lt;"&amp;EDATE(A6,1))</f>
        <v>450</v>
      </c>
      <c r="D6" s="2">
        <f t="shared" ref="D6:D30" si="0">IF(B6=0,0,C6/B6)</f>
        <v>450</v>
      </c>
      <c r="E6" s="1" t="s">
        <v>528</v>
      </c>
      <c r="F6" s="1" t="str">
        <f t="shared" ref="F6:F30" si="1">TEXT(A6,"mmm yy")</f>
        <v>Nov 22</v>
      </c>
    </row>
    <row r="7" spans="1:6" ht="22" customHeight="1" x14ac:dyDescent="0.35">
      <c r="A7" s="7">
        <v>44896</v>
      </c>
      <c r="B7" s="1">
        <f>COUNTIFS(Attendees[Registration Date],"&gt;="&amp;A7,Attendees[Registration Date],"&lt;"&amp;EDATE(A7,1))</f>
        <v>4</v>
      </c>
      <c r="C7" s="2">
        <f>SUMIFS(Attendees[Ticket Price (€)],Attendees[Registration Date],"&gt;="&amp;A7,Attendees[Registration Date],"&lt;"&amp;EDATE(A7,1))</f>
        <v>1900</v>
      </c>
      <c r="D7" s="2">
        <f t="shared" si="0"/>
        <v>475</v>
      </c>
      <c r="E7" s="1" t="s">
        <v>447</v>
      </c>
      <c r="F7" s="1" t="str">
        <f t="shared" si="1"/>
        <v>Dec 22</v>
      </c>
    </row>
    <row r="8" spans="1:6" ht="22" customHeight="1" x14ac:dyDescent="0.35">
      <c r="A8" s="7">
        <v>44927</v>
      </c>
      <c r="B8" s="1">
        <f>COUNTIFS(Attendees[Registration Date],"&gt;="&amp;A8,Attendees[Registration Date],"&lt;"&amp;EDATE(A8,1))</f>
        <v>3</v>
      </c>
      <c r="C8" s="2">
        <f>SUMIFS(Attendees[Ticket Price (€)],Attendees[Registration Date],"&gt;="&amp;A8,Attendees[Registration Date],"&lt;"&amp;EDATE(A8,1))</f>
        <v>1450</v>
      </c>
      <c r="D8" s="2">
        <f t="shared" si="0"/>
        <v>483.33333333333331</v>
      </c>
      <c r="E8" s="1" t="s">
        <v>447</v>
      </c>
      <c r="F8" s="1" t="str">
        <f t="shared" si="1"/>
        <v>Jan 23</v>
      </c>
    </row>
    <row r="9" spans="1:6" ht="22" customHeight="1" x14ac:dyDescent="0.35">
      <c r="A9" s="7">
        <v>44958</v>
      </c>
      <c r="B9" s="1">
        <f>COUNTIFS(Attendees[Registration Date],"&gt;="&amp;A9,Attendees[Registration Date],"&lt;"&amp;EDATE(A9,1))</f>
        <v>8</v>
      </c>
      <c r="C9" s="2">
        <f>SUMIFS(Attendees[Ticket Price (€)],Attendees[Registration Date],"&gt;="&amp;A9,Attendees[Registration Date],"&lt;"&amp;EDATE(A9,1))</f>
        <v>3900</v>
      </c>
      <c r="D9" s="2">
        <f t="shared" si="0"/>
        <v>487.5</v>
      </c>
      <c r="E9" s="1" t="s">
        <v>447</v>
      </c>
      <c r="F9" s="1" t="str">
        <f t="shared" si="1"/>
        <v>Feb 23</v>
      </c>
    </row>
    <row r="10" spans="1:6" ht="22" customHeight="1" x14ac:dyDescent="0.35">
      <c r="A10" s="7">
        <v>44986</v>
      </c>
      <c r="B10" s="1">
        <f>COUNTIFS(Attendees[Registration Date],"&gt;="&amp;A10,Attendees[Registration Date],"&lt;"&amp;EDATE(A10,1))</f>
        <v>1</v>
      </c>
      <c r="C10" s="2">
        <f>SUMIFS(Attendees[Ticket Price (€)],Attendees[Registration Date],"&gt;="&amp;A10,Attendees[Registration Date],"&lt;"&amp;EDATE(A10,1))</f>
        <v>450</v>
      </c>
      <c r="D10" s="2">
        <f t="shared" si="0"/>
        <v>450</v>
      </c>
      <c r="E10" s="1" t="s">
        <v>447</v>
      </c>
      <c r="F10" s="1" t="str">
        <f t="shared" si="1"/>
        <v>Mar 23</v>
      </c>
    </row>
    <row r="11" spans="1:6" ht="22" customHeight="1" x14ac:dyDescent="0.35">
      <c r="A11" s="7">
        <v>45017</v>
      </c>
      <c r="B11" s="1">
        <f>COUNTIFS(Attendees[Registration Date],"&gt;="&amp;A11,Attendees[Registration Date],"&lt;"&amp;EDATE(A11,1))</f>
        <v>6</v>
      </c>
      <c r="C11" s="2">
        <f>SUMIFS(Attendees[Ticket Price (€)],Attendees[Registration Date],"&gt;="&amp;A11,Attendees[Registration Date],"&lt;"&amp;EDATE(A11,1))</f>
        <v>2900</v>
      </c>
      <c r="D11" s="2">
        <f t="shared" si="0"/>
        <v>483.33333333333331</v>
      </c>
      <c r="E11" s="1" t="s">
        <v>447</v>
      </c>
      <c r="F11" s="1" t="str">
        <f t="shared" si="1"/>
        <v>Apr 23</v>
      </c>
    </row>
    <row r="12" spans="1:6" ht="22" customHeight="1" x14ac:dyDescent="0.35">
      <c r="A12" s="7">
        <v>45047</v>
      </c>
      <c r="B12" s="1">
        <f>COUNTIFS(Attendees[Registration Date],"&gt;="&amp;A12,Attendees[Registration Date],"&lt;"&amp;EDATE(A12,1))</f>
        <v>3</v>
      </c>
      <c r="C12" s="2">
        <f>SUMIFS(Attendees[Ticket Price (€)],Attendees[Registration Date],"&gt;="&amp;A12,Attendees[Registration Date],"&lt;"&amp;EDATE(A12,1))</f>
        <v>1450</v>
      </c>
      <c r="D12" s="2">
        <f t="shared" si="0"/>
        <v>483.33333333333331</v>
      </c>
      <c r="E12" s="1" t="s">
        <v>447</v>
      </c>
      <c r="F12" s="1" t="str">
        <f t="shared" si="1"/>
        <v>May 23</v>
      </c>
    </row>
    <row r="13" spans="1:6" ht="22" customHeight="1" x14ac:dyDescent="0.35">
      <c r="A13" s="7">
        <v>45078</v>
      </c>
      <c r="B13" s="1">
        <f>COUNTIFS(Attendees[Registration Date],"&gt;="&amp;A13,Attendees[Registration Date],"&lt;"&amp;EDATE(A13,1))</f>
        <v>2</v>
      </c>
      <c r="C13" s="2">
        <f>SUMIFS(Attendees[Ticket Price (€)],Attendees[Registration Date],"&gt;="&amp;A13,Attendees[Registration Date],"&lt;"&amp;EDATE(A13,1))</f>
        <v>1000</v>
      </c>
      <c r="D13" s="2">
        <f t="shared" si="0"/>
        <v>500</v>
      </c>
      <c r="E13" s="1" t="s">
        <v>447</v>
      </c>
      <c r="F13" s="1" t="str">
        <f t="shared" si="1"/>
        <v>Jun 23</v>
      </c>
    </row>
    <row r="14" spans="1:6" ht="22" customHeight="1" x14ac:dyDescent="0.35">
      <c r="A14" s="7">
        <v>45108</v>
      </c>
      <c r="B14" s="1">
        <f>COUNTIFS(Attendees[Registration Date],"&gt;="&amp;A14,Attendees[Registration Date],"&lt;"&amp;EDATE(A14,1))</f>
        <v>5</v>
      </c>
      <c r="C14" s="2">
        <f>SUMIFS(Attendees[Ticket Price (€)],Attendees[Registration Date],"&gt;="&amp;A14,Attendees[Registration Date],"&lt;"&amp;EDATE(A14,1))</f>
        <v>2600</v>
      </c>
      <c r="D14" s="2">
        <f t="shared" si="0"/>
        <v>520</v>
      </c>
      <c r="E14" s="1" t="s">
        <v>447</v>
      </c>
      <c r="F14" s="1" t="str">
        <f t="shared" si="1"/>
        <v>Jul 23</v>
      </c>
    </row>
    <row r="15" spans="1:6" ht="22" customHeight="1" x14ac:dyDescent="0.35">
      <c r="A15" s="7">
        <v>45139</v>
      </c>
      <c r="B15" s="1">
        <f>COUNTIFS(Attendees[Registration Date],"&gt;="&amp;A15,Attendees[Registration Date],"&lt;"&amp;EDATE(A15,1))</f>
        <v>3</v>
      </c>
      <c r="C15" s="2">
        <f>SUMIFS(Attendees[Ticket Price (€)],Attendees[Registration Date],"&gt;="&amp;A15,Attendees[Registration Date],"&lt;"&amp;EDATE(A15,1))</f>
        <v>1450</v>
      </c>
      <c r="D15" s="2">
        <f t="shared" si="0"/>
        <v>483.33333333333331</v>
      </c>
      <c r="E15" s="1" t="s">
        <v>447</v>
      </c>
      <c r="F15" s="1" t="str">
        <f t="shared" si="1"/>
        <v>Aug 23</v>
      </c>
    </row>
    <row r="16" spans="1:6" ht="22" customHeight="1" x14ac:dyDescent="0.35">
      <c r="A16" s="7">
        <v>45170</v>
      </c>
      <c r="B16" s="1">
        <f>COUNTIFS(Attendees[Registration Date],"&gt;="&amp;A16,Attendees[Registration Date],"&lt;"&amp;EDATE(A16,1))</f>
        <v>3</v>
      </c>
      <c r="C16" s="2">
        <f>SUMIFS(Attendees[Ticket Price (€)],Attendees[Registration Date],"&gt;="&amp;A16,Attendees[Registration Date],"&lt;"&amp;EDATE(A16,1))</f>
        <v>1450</v>
      </c>
      <c r="D16" s="2">
        <f t="shared" si="0"/>
        <v>483.33333333333331</v>
      </c>
      <c r="E16" s="1" t="s">
        <v>447</v>
      </c>
      <c r="F16" s="1" t="str">
        <f t="shared" si="1"/>
        <v>Sep 23</v>
      </c>
    </row>
    <row r="17" spans="1:6" ht="22" customHeight="1" x14ac:dyDescent="0.35">
      <c r="A17" s="7">
        <v>45200</v>
      </c>
      <c r="B17" s="1">
        <f>COUNTIFS(Attendees[Registration Date],"&gt;="&amp;A17,Attendees[Registration Date],"&lt;"&amp;EDATE(A17,1))</f>
        <v>4</v>
      </c>
      <c r="C17" s="2">
        <f>SUMIFS(Attendees[Ticket Price (€)],Attendees[Registration Date],"&gt;="&amp;A17,Attendees[Registration Date],"&lt;"&amp;EDATE(A17,1))</f>
        <v>1750</v>
      </c>
      <c r="D17" s="2">
        <f t="shared" si="0"/>
        <v>437.5</v>
      </c>
      <c r="E17" s="1" t="s">
        <v>447</v>
      </c>
      <c r="F17" s="1" t="str">
        <f t="shared" si="1"/>
        <v>Oct 23</v>
      </c>
    </row>
    <row r="18" spans="1:6" ht="22" customHeight="1" x14ac:dyDescent="0.35">
      <c r="A18" s="7">
        <v>45231</v>
      </c>
      <c r="B18" s="1">
        <f>COUNTIFS(Attendees[Registration Date],"&gt;="&amp;A18,Attendees[Registration Date],"&lt;"&amp;EDATE(A18,1))</f>
        <v>2</v>
      </c>
      <c r="C18" s="2">
        <f>SUMIFS(Attendees[Ticket Price (€)],Attendees[Registration Date],"&gt;="&amp;A18,Attendees[Registration Date],"&lt;"&amp;EDATE(A18,1))</f>
        <v>1150</v>
      </c>
      <c r="D18" s="2">
        <f t="shared" si="0"/>
        <v>575</v>
      </c>
      <c r="E18" s="1" t="s">
        <v>447</v>
      </c>
      <c r="F18" s="1" t="str">
        <f t="shared" si="1"/>
        <v>Nov 23</v>
      </c>
    </row>
    <row r="19" spans="1:6" ht="22" customHeight="1" x14ac:dyDescent="0.35">
      <c r="A19" s="7">
        <v>45261</v>
      </c>
      <c r="B19" s="1">
        <f>COUNTIFS(Attendees[Registration Date],"&gt;="&amp;A19,Attendees[Registration Date],"&lt;"&amp;EDATE(A19,1))</f>
        <v>2</v>
      </c>
      <c r="C19" s="2">
        <f>SUMIFS(Attendees[Ticket Price (€)],Attendees[Registration Date],"&gt;="&amp;A19,Attendees[Registration Date],"&lt;"&amp;EDATE(A19,1))</f>
        <v>750</v>
      </c>
      <c r="D19" s="2">
        <f t="shared" si="0"/>
        <v>375</v>
      </c>
      <c r="E19" s="1" t="s">
        <v>447</v>
      </c>
      <c r="F19" s="1" t="str">
        <f t="shared" si="1"/>
        <v>Dec 23</v>
      </c>
    </row>
    <row r="20" spans="1:6" ht="22" customHeight="1" x14ac:dyDescent="0.35">
      <c r="A20" s="7">
        <v>45292</v>
      </c>
      <c r="B20" s="1">
        <f>COUNTIFS(Attendees[Registration Date],"&gt;="&amp;A20,Attendees[Registration Date],"&lt;"&amp;EDATE(A20,1))</f>
        <v>7</v>
      </c>
      <c r="C20" s="2">
        <f>SUMIFS(Attendees[Ticket Price (€)],Attendees[Registration Date],"&gt;="&amp;A20,Attendees[Registration Date],"&lt;"&amp;EDATE(A20,1))</f>
        <v>3600</v>
      </c>
      <c r="D20" s="2">
        <f t="shared" si="0"/>
        <v>514.28571428571433</v>
      </c>
      <c r="E20" s="1" t="s">
        <v>447</v>
      </c>
      <c r="F20" s="1" t="str">
        <f t="shared" si="1"/>
        <v>Jan 24</v>
      </c>
    </row>
    <row r="21" spans="1:6" ht="22" customHeight="1" x14ac:dyDescent="0.35">
      <c r="A21" s="7">
        <v>45323</v>
      </c>
      <c r="B21" s="1">
        <f>COUNTIFS(Attendees[Registration Date],"&gt;="&amp;A21,Attendees[Registration Date],"&lt;"&amp;EDATE(A21,1))</f>
        <v>9</v>
      </c>
      <c r="C21" s="2">
        <f>SUMIFS(Attendees[Ticket Price (€)],Attendees[Registration Date],"&gt;="&amp;A21,Attendees[Registration Date],"&lt;"&amp;EDATE(A21,1))</f>
        <v>4350</v>
      </c>
      <c r="D21" s="2">
        <f t="shared" si="0"/>
        <v>483.33333333333331</v>
      </c>
      <c r="E21" s="1" t="s">
        <v>447</v>
      </c>
      <c r="F21" s="1" t="str">
        <f t="shared" si="1"/>
        <v>Feb 24</v>
      </c>
    </row>
    <row r="22" spans="1:6" ht="22" customHeight="1" x14ac:dyDescent="0.35">
      <c r="A22" s="7">
        <v>45352</v>
      </c>
      <c r="B22" s="1">
        <f>COUNTIFS(Attendees[Registration Date],"&gt;="&amp;A22,Attendees[Registration Date],"&lt;"&amp;EDATE(A22,1))</f>
        <v>5</v>
      </c>
      <c r="C22" s="2">
        <f>SUMIFS(Attendees[Ticket Price (€)],Attendees[Registration Date],"&gt;="&amp;A22,Attendees[Registration Date],"&lt;"&amp;EDATE(A22,1))</f>
        <v>2200</v>
      </c>
      <c r="D22" s="2">
        <f t="shared" si="0"/>
        <v>440</v>
      </c>
      <c r="E22" s="1" t="s">
        <v>447</v>
      </c>
      <c r="F22" s="1" t="str">
        <f t="shared" si="1"/>
        <v>Mar 24</v>
      </c>
    </row>
    <row r="23" spans="1:6" ht="22" customHeight="1" x14ac:dyDescent="0.35">
      <c r="A23" s="7">
        <v>45383</v>
      </c>
      <c r="B23" s="1">
        <f>COUNTIFS(Attendees[Registration Date],"&gt;="&amp;A23,Attendees[Registration Date],"&lt;"&amp;EDATE(A23,1))</f>
        <v>3</v>
      </c>
      <c r="C23" s="2">
        <f>SUMIFS(Attendees[Ticket Price (€)],Attendees[Registration Date],"&gt;="&amp;A23,Attendees[Registration Date],"&lt;"&amp;EDATE(A23,1))</f>
        <v>1450</v>
      </c>
      <c r="D23" s="2">
        <f t="shared" si="0"/>
        <v>483.33333333333331</v>
      </c>
      <c r="E23" s="1" t="s">
        <v>447</v>
      </c>
      <c r="F23" s="1" t="str">
        <f t="shared" si="1"/>
        <v>Apr 24</v>
      </c>
    </row>
    <row r="24" spans="1:6" ht="22" customHeight="1" x14ac:dyDescent="0.35">
      <c r="A24" s="7">
        <v>45413</v>
      </c>
      <c r="B24" s="1">
        <f>COUNTIFS(Attendees[Registration Date],"&gt;="&amp;A24,Attendees[Registration Date],"&lt;"&amp;EDATE(A24,1))</f>
        <v>3</v>
      </c>
      <c r="C24" s="2">
        <f>SUMIFS(Attendees[Ticket Price (€)],Attendees[Registration Date],"&gt;="&amp;A24,Attendees[Registration Date],"&lt;"&amp;EDATE(A24,1))</f>
        <v>1450</v>
      </c>
      <c r="D24" s="2">
        <f t="shared" si="0"/>
        <v>483.33333333333331</v>
      </c>
      <c r="E24" s="1" t="s">
        <v>447</v>
      </c>
      <c r="F24" s="1" t="str">
        <f t="shared" si="1"/>
        <v>May 24</v>
      </c>
    </row>
    <row r="25" spans="1:6" ht="22" customHeight="1" x14ac:dyDescent="0.35">
      <c r="A25" s="7">
        <v>45444</v>
      </c>
      <c r="B25" s="1">
        <f>COUNTIFS(Attendees[Registration Date],"&gt;="&amp;A25,Attendees[Registration Date],"&lt;"&amp;EDATE(A25,1))</f>
        <v>6</v>
      </c>
      <c r="C25" s="2">
        <f>SUMIFS(Attendees[Ticket Price (€)],Attendees[Registration Date],"&gt;="&amp;A25,Attendees[Registration Date],"&lt;"&amp;EDATE(A25,1))</f>
        <v>2900</v>
      </c>
      <c r="D25" s="2">
        <f t="shared" si="0"/>
        <v>483.33333333333331</v>
      </c>
      <c r="E25" s="1" t="s">
        <v>447</v>
      </c>
      <c r="F25" s="1" t="str">
        <f t="shared" si="1"/>
        <v>Jun 24</v>
      </c>
    </row>
    <row r="26" spans="1:6" ht="22" customHeight="1" x14ac:dyDescent="0.35">
      <c r="A26" s="7">
        <v>45474</v>
      </c>
      <c r="B26" s="1">
        <f>COUNTIFS(Attendees[Registration Date],"&gt;="&amp;A26,Attendees[Registration Date],"&lt;"&amp;EDATE(A26,1))</f>
        <v>3</v>
      </c>
      <c r="C26" s="2">
        <f>SUMIFS(Attendees[Ticket Price (€)],Attendees[Registration Date],"&gt;="&amp;A26,Attendees[Registration Date],"&lt;"&amp;EDATE(A26,1))</f>
        <v>1450</v>
      </c>
      <c r="D26" s="2">
        <f t="shared" si="0"/>
        <v>483.33333333333331</v>
      </c>
      <c r="E26" s="1" t="s">
        <v>447</v>
      </c>
      <c r="F26" s="1" t="str">
        <f t="shared" si="1"/>
        <v>Jul 24</v>
      </c>
    </row>
    <row r="27" spans="1:6" ht="22" customHeight="1" x14ac:dyDescent="0.35">
      <c r="A27" s="7">
        <v>45505</v>
      </c>
      <c r="B27" s="1">
        <f>COUNTIFS(Attendees[Registration Date],"&gt;="&amp;A27,Attendees[Registration Date],"&lt;"&amp;EDATE(A27,1))</f>
        <v>7</v>
      </c>
      <c r="C27" s="2">
        <f>SUMIFS(Attendees[Ticket Price (€)],Attendees[Registration Date],"&gt;="&amp;A27,Attendees[Registration Date],"&lt;"&amp;EDATE(A27,1))</f>
        <v>3600</v>
      </c>
      <c r="D27" s="2">
        <f t="shared" si="0"/>
        <v>514.28571428571433</v>
      </c>
      <c r="E27" s="1" t="s">
        <v>447</v>
      </c>
      <c r="F27" s="1" t="str">
        <f t="shared" si="1"/>
        <v>Aug 24</v>
      </c>
    </row>
    <row r="28" spans="1:6" ht="22" customHeight="1" x14ac:dyDescent="0.35">
      <c r="A28" s="7">
        <v>45536</v>
      </c>
      <c r="B28" s="1">
        <f>COUNTIFS(Attendees[Registration Date],"&gt;="&amp;A28,Attendees[Registration Date],"&lt;"&amp;EDATE(A28,1))</f>
        <v>2</v>
      </c>
      <c r="C28" s="2">
        <f>SUMIFS(Attendees[Ticket Price (€)],Attendees[Registration Date],"&gt;="&amp;A28,Attendees[Registration Date],"&lt;"&amp;EDATE(A28,1))</f>
        <v>750</v>
      </c>
      <c r="D28" s="2">
        <f t="shared" si="0"/>
        <v>375</v>
      </c>
      <c r="E28" s="1" t="s">
        <v>447</v>
      </c>
      <c r="F28" s="1" t="str">
        <f t="shared" si="1"/>
        <v>Sep 24</v>
      </c>
    </row>
    <row r="29" spans="1:6" ht="22" customHeight="1" x14ac:dyDescent="0.35">
      <c r="A29" s="7">
        <v>45566</v>
      </c>
      <c r="B29" s="1">
        <f>COUNTIFS(Attendees[Registration Date],"&gt;="&amp;A29,Attendees[Registration Date],"&lt;"&amp;EDATE(A29,1))</f>
        <v>6</v>
      </c>
      <c r="C29" s="2">
        <f>SUMIFS(Attendees[Ticket Price (€)],Attendees[Registration Date],"&gt;="&amp;A29,Attendees[Registration Date],"&lt;"&amp;EDATE(A29,1))</f>
        <v>2900</v>
      </c>
      <c r="D29" s="2">
        <f t="shared" si="0"/>
        <v>483.33333333333331</v>
      </c>
      <c r="E29" s="1" t="s">
        <v>447</v>
      </c>
      <c r="F29" s="1" t="str">
        <f t="shared" si="1"/>
        <v>Oct 24</v>
      </c>
    </row>
    <row r="30" spans="1:6" ht="22" customHeight="1" x14ac:dyDescent="0.35">
      <c r="A30" s="7">
        <v>45597</v>
      </c>
      <c r="B30" s="1">
        <f>COUNTIFS(Attendees[Registration Date],"&gt;="&amp;A30,Attendees[Registration Date],"&lt;"&amp;EDATE(A30,1))</f>
        <v>2</v>
      </c>
      <c r="C30" s="2">
        <f>SUMIFS(Attendees[Ticket Price (€)],Attendees[Registration Date],"&gt;="&amp;A30,Attendees[Registration Date],"&lt;"&amp;EDATE(A30,1))</f>
        <v>1000</v>
      </c>
      <c r="D30" s="2">
        <f t="shared" si="0"/>
        <v>500</v>
      </c>
      <c r="E30" s="1" t="s">
        <v>528</v>
      </c>
      <c r="F30" s="1" t="str">
        <f t="shared" si="1"/>
        <v>Nov 24</v>
      </c>
    </row>
    <row r="31" spans="1:6" ht="22" customHeight="1" x14ac:dyDescent="0.35">
      <c r="A31" s="1"/>
      <c r="B31" s="1"/>
      <c r="C31" s="2"/>
      <c r="D31" s="2"/>
      <c r="E31" s="1"/>
      <c r="F31" s="1"/>
    </row>
    <row r="32" spans="1:6" ht="32" customHeight="1" x14ac:dyDescent="0.35">
      <c r="A32" s="6" t="s">
        <v>448</v>
      </c>
      <c r="B32" s="6">
        <f>SUM(B6:B30)</f>
        <v>100</v>
      </c>
      <c r="C32" s="11">
        <f>SUM(C6:C30)</f>
        <v>48300</v>
      </c>
      <c r="D32" s="11">
        <f>C32/B32</f>
        <v>483</v>
      </c>
      <c r="E32" s="6"/>
      <c r="F32" s="6"/>
    </row>
    <row r="33" spans="1:6" ht="22" customHeight="1" x14ac:dyDescent="0.35">
      <c r="A33" s="1"/>
      <c r="B33" s="1"/>
      <c r="C33" s="1"/>
      <c r="D33" s="1"/>
      <c r="E33" s="1"/>
      <c r="F33" s="1"/>
    </row>
  </sheetData>
  <pageMargins left="0.7" right="0.7" top="0.75" bottom="0.75" header="0.3" footer="0.3"/>
  <pageSetup scale="6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showGridLines="0" zoomScale="85" zoomScaleNormal="85" workbookViewId="0"/>
  </sheetViews>
  <sheetFormatPr defaultRowHeight="14.5" x14ac:dyDescent="0.35"/>
  <cols>
    <col min="1" max="1" width="28" customWidth="1"/>
    <col min="2" max="2" width="36" customWidth="1"/>
    <col min="3" max="8" width="15" customWidth="1"/>
  </cols>
  <sheetData>
    <row r="1" spans="1:8" ht="24" customHeight="1" x14ac:dyDescent="0.35">
      <c r="A1" s="10" t="s">
        <v>490</v>
      </c>
      <c r="B1" s="4"/>
      <c r="C1" s="4"/>
      <c r="D1" s="4"/>
      <c r="E1" s="4"/>
      <c r="F1" s="4"/>
      <c r="G1" s="4"/>
      <c r="H1" s="4"/>
    </row>
    <row r="2" spans="1:8" ht="24" customHeight="1" x14ac:dyDescent="0.35">
      <c r="A2" s="4"/>
      <c r="B2" s="4"/>
      <c r="C2" s="4"/>
      <c r="D2" s="4"/>
      <c r="E2" s="4"/>
      <c r="F2" s="4"/>
      <c r="G2" s="4"/>
      <c r="H2" s="4"/>
    </row>
    <row r="3" spans="1:8" ht="24" customHeight="1" x14ac:dyDescent="0.35">
      <c r="A3" s="4"/>
      <c r="B3" s="4"/>
      <c r="C3" s="4"/>
      <c r="D3" s="4"/>
      <c r="E3" s="4"/>
      <c r="F3" s="4"/>
      <c r="G3" s="4"/>
      <c r="H3" s="4"/>
    </row>
    <row r="4" spans="1:8" ht="22" customHeight="1" x14ac:dyDescent="0.35">
      <c r="A4" s="1"/>
      <c r="B4" s="1"/>
      <c r="C4" s="1"/>
      <c r="D4" s="1"/>
      <c r="E4" s="1"/>
      <c r="F4" s="1"/>
      <c r="G4" s="1"/>
      <c r="H4" s="1"/>
    </row>
    <row r="5" spans="1:8" ht="22" customHeight="1" x14ac:dyDescent="0.35">
      <c r="A5" s="1" t="s">
        <v>3</v>
      </c>
      <c r="B5" s="8"/>
      <c r="C5" s="1"/>
      <c r="D5" s="1"/>
      <c r="E5" s="1"/>
      <c r="F5" s="1"/>
      <c r="G5" s="1"/>
      <c r="H5" s="1"/>
    </row>
    <row r="6" spans="1:8" ht="22" customHeight="1" x14ac:dyDescent="0.35">
      <c r="A6" s="1" t="s">
        <v>4</v>
      </c>
      <c r="B6" s="8"/>
      <c r="C6" s="1"/>
      <c r="D6" s="1"/>
      <c r="E6" s="1"/>
      <c r="F6" s="1"/>
      <c r="G6" s="1"/>
      <c r="H6" s="1"/>
    </row>
    <row r="7" spans="1:8" ht="22" customHeight="1" x14ac:dyDescent="0.35">
      <c r="A7" s="1" t="s">
        <v>5</v>
      </c>
      <c r="B7" s="8"/>
      <c r="C7" s="1"/>
      <c r="D7" s="1"/>
      <c r="E7" s="1"/>
      <c r="F7" s="1"/>
      <c r="G7" s="1"/>
      <c r="H7" s="1"/>
    </row>
    <row r="8" spans="1:8" ht="22" customHeight="1" x14ac:dyDescent="0.35">
      <c r="A8" s="1" t="s">
        <v>6</v>
      </c>
      <c r="B8" s="8"/>
      <c r="C8" s="1"/>
      <c r="D8" s="1"/>
      <c r="E8" s="1"/>
      <c r="F8" s="1"/>
      <c r="G8" s="1"/>
      <c r="H8" s="1"/>
    </row>
    <row r="9" spans="1:8" ht="22" customHeight="1" x14ac:dyDescent="0.35">
      <c r="A9" s="1" t="s">
        <v>7</v>
      </c>
      <c r="B9" s="8"/>
      <c r="C9" s="1"/>
      <c r="D9" s="1"/>
      <c r="E9" s="1"/>
      <c r="F9" s="1"/>
      <c r="G9" s="1"/>
      <c r="H9" s="1"/>
    </row>
    <row r="10" spans="1:8" ht="22" customHeight="1" x14ac:dyDescent="0.35">
      <c r="A10" s="1" t="s">
        <v>8</v>
      </c>
      <c r="B10" s="8"/>
      <c r="C10" s="1"/>
      <c r="D10" s="1"/>
      <c r="E10" s="1"/>
      <c r="F10" s="1"/>
      <c r="G10" s="1"/>
      <c r="H10" s="1"/>
    </row>
    <row r="11" spans="1:8" ht="22" customHeight="1" x14ac:dyDescent="0.35">
      <c r="A11" s="1" t="s">
        <v>9</v>
      </c>
      <c r="B11" s="14"/>
      <c r="C11" s="1"/>
      <c r="D11" s="1"/>
      <c r="E11" s="1"/>
      <c r="F11" s="1"/>
      <c r="G11" s="1"/>
      <c r="H11" s="1"/>
    </row>
    <row r="12" spans="1:8" ht="22" customHeight="1" x14ac:dyDescent="0.35">
      <c r="A12" s="1" t="s">
        <v>10</v>
      </c>
      <c r="B12" s="17"/>
      <c r="C12" s="1"/>
      <c r="D12" s="1"/>
      <c r="E12" s="1"/>
      <c r="F12" s="1"/>
      <c r="G12" s="1"/>
      <c r="H12" s="1"/>
    </row>
    <row r="13" spans="1:8" ht="22" customHeight="1" x14ac:dyDescent="0.35">
      <c r="A13" s="1" t="s">
        <v>11</v>
      </c>
      <c r="B13" s="8" t="s">
        <v>19</v>
      </c>
      <c r="C13" s="1"/>
      <c r="D13" s="1"/>
      <c r="E13" s="1"/>
      <c r="F13" s="1"/>
      <c r="G13" s="1"/>
      <c r="H13" s="1"/>
    </row>
    <row r="14" spans="1:8" ht="22" customHeight="1" x14ac:dyDescent="0.35">
      <c r="A14" s="1"/>
      <c r="B14" s="1"/>
      <c r="C14" s="1"/>
      <c r="D14" s="1"/>
      <c r="E14" s="1"/>
      <c r="F14" s="1"/>
      <c r="G14" s="1"/>
      <c r="H14" s="1"/>
    </row>
    <row r="15" spans="1:8" ht="22" customHeight="1" x14ac:dyDescent="0.35">
      <c r="A15" s="1"/>
      <c r="B15" s="1"/>
      <c r="C15" s="1"/>
      <c r="D15" s="1"/>
      <c r="E15" s="1"/>
      <c r="F15" s="1"/>
      <c r="G15" s="1"/>
      <c r="H15" s="1"/>
    </row>
    <row r="16" spans="1:8" ht="22" customHeight="1" x14ac:dyDescent="0.35">
      <c r="A16" s="1" t="s">
        <v>491</v>
      </c>
      <c r="B16" s="1"/>
      <c r="C16" s="1"/>
      <c r="D16" s="1"/>
      <c r="E16" s="1"/>
      <c r="F16" s="1"/>
      <c r="G16" s="1"/>
      <c r="H16" s="1"/>
    </row>
    <row r="17" spans="1:8" ht="22" customHeight="1" x14ac:dyDescent="0.35">
      <c r="A17" s="1"/>
      <c r="B17" s="1"/>
      <c r="C17" s="1"/>
      <c r="D17" s="1"/>
      <c r="E17" s="1"/>
      <c r="F17" s="1"/>
      <c r="G17" s="1"/>
      <c r="H17" s="1"/>
    </row>
    <row r="18" spans="1:8" ht="22" customHeight="1" x14ac:dyDescent="0.35">
      <c r="A18" s="1" t="s">
        <v>492</v>
      </c>
      <c r="B18" s="1"/>
      <c r="C18" s="1"/>
      <c r="D18" s="1"/>
      <c r="E18" s="1"/>
      <c r="F18" s="1"/>
      <c r="G18" s="1"/>
      <c r="H18" s="1"/>
    </row>
    <row r="19" spans="1:8" ht="22" customHeight="1" x14ac:dyDescent="0.35">
      <c r="A19" s="1"/>
      <c r="B19" s="1"/>
      <c r="C19" s="1"/>
      <c r="D19" s="1"/>
      <c r="E19" s="1"/>
      <c r="F19" s="1"/>
      <c r="G19" s="1"/>
      <c r="H19" s="1"/>
    </row>
    <row r="20" spans="1:8" ht="22" customHeight="1" x14ac:dyDescent="0.35">
      <c r="A20" s="1" t="s">
        <v>493</v>
      </c>
      <c r="B20" s="1"/>
      <c r="C20" s="1"/>
      <c r="D20" s="1"/>
      <c r="E20" s="1"/>
      <c r="F20" s="1"/>
      <c r="G20" s="1"/>
      <c r="H20" s="1"/>
    </row>
    <row r="21" spans="1:8" ht="22" customHeight="1" x14ac:dyDescent="0.35">
      <c r="A21" s="1"/>
      <c r="B21" s="1"/>
      <c r="C21" s="1"/>
      <c r="D21" s="1"/>
      <c r="E21" s="1"/>
      <c r="F21" s="1"/>
      <c r="G21" s="1"/>
      <c r="H21" s="1"/>
    </row>
    <row r="22" spans="1:8" ht="22" customHeight="1" x14ac:dyDescent="0.35">
      <c r="A22" s="1"/>
      <c r="B22" s="1"/>
      <c r="C22" s="1"/>
      <c r="D22" s="1"/>
      <c r="E22" s="1"/>
      <c r="F22" s="1"/>
      <c r="G22" s="1"/>
      <c r="H22" s="1"/>
    </row>
    <row r="23" spans="1:8" ht="22" customHeight="1" x14ac:dyDescent="0.35">
      <c r="A23" s="1"/>
      <c r="B23" s="1"/>
      <c r="C23" s="1"/>
      <c r="D23" s="1"/>
      <c r="E23" s="1"/>
      <c r="F23" s="1"/>
      <c r="G23" s="1"/>
      <c r="H23" s="1"/>
    </row>
  </sheetData>
  <dataValidations count="3">
    <dataValidation type="list" sqref="B9" xr:uid="{00000000-0002-0000-0700-000000000000}">
      <formula1>"Online,In-Person"</formula1>
    </dataValidation>
    <dataValidation type="list" sqref="B10" xr:uid="{00000000-0002-0000-0700-000001000000}">
      <formula1>"Data Analytics,Artificial Intelligence,Cybersecurity"</formula1>
    </dataValidation>
    <dataValidation type="list" sqref="B13" xr:uid="{00000000-0002-0000-0700-000002000000}">
      <formula1>"Not provided,No preference,Vegetarian,Vegan,Gluten-free,Other"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showGridLines="0" zoomScale="85" zoomScaleNormal="85" workbookViewId="0">
      <pane ySplit="1" topLeftCell="A2" activePane="bottomLeft" state="frozen"/>
      <selection pane="bottomLeft"/>
    </sheetView>
  </sheetViews>
  <sheetFormatPr defaultColWidth="14.453125" defaultRowHeight="14.5" x14ac:dyDescent="0.35"/>
  <cols>
    <col min="1" max="2" width="23" customWidth="1"/>
    <col min="3" max="3" width="35" customWidth="1"/>
    <col min="4" max="5" width="23" customWidth="1"/>
    <col min="6" max="6" width="30" customWidth="1"/>
    <col min="7" max="10" width="23" customWidth="1"/>
    <col min="11" max="26" width="8.7265625" customWidth="1"/>
  </cols>
  <sheetData>
    <row r="1" spans="1:10" ht="32" customHeight="1" x14ac:dyDescent="0.35">
      <c r="A1" s="5" t="s">
        <v>3</v>
      </c>
      <c r="B1" s="5" t="s">
        <v>4</v>
      </c>
      <c r="C1" s="5" t="s">
        <v>5</v>
      </c>
      <c r="D1" s="5" t="s">
        <v>6</v>
      </c>
      <c r="E1" s="5" t="s">
        <v>7</v>
      </c>
      <c r="F1" s="5" t="s">
        <v>8</v>
      </c>
      <c r="G1" s="5" t="s">
        <v>9</v>
      </c>
      <c r="H1" s="5" t="s">
        <v>10</v>
      </c>
      <c r="I1" s="6" t="s">
        <v>11</v>
      </c>
      <c r="J1" s="6" t="s">
        <v>12</v>
      </c>
    </row>
    <row r="2" spans="1:10" ht="22" customHeight="1" x14ac:dyDescent="0.35">
      <c r="A2" s="1" t="s">
        <v>13</v>
      </c>
      <c r="B2" s="1" t="s">
        <v>14</v>
      </c>
      <c r="C2" s="1" t="s">
        <v>15</v>
      </c>
      <c r="D2" s="1" t="s">
        <v>16</v>
      </c>
      <c r="E2" s="1" t="s">
        <v>17</v>
      </c>
      <c r="F2" s="1" t="s">
        <v>18</v>
      </c>
      <c r="G2" s="2">
        <v>450</v>
      </c>
      <c r="H2" s="3">
        <v>44878</v>
      </c>
      <c r="I2" s="1" t="s">
        <v>19</v>
      </c>
      <c r="J2" s="7">
        <f>DATE(YEAR(Attendees[[#This Row],[Registration Date]]),MONTH(Attendees[[#This Row],[Registration Date]]),1)</f>
        <v>44866</v>
      </c>
    </row>
    <row r="3" spans="1:10" ht="22" customHeight="1" x14ac:dyDescent="0.35">
      <c r="A3" s="1" t="s">
        <v>20</v>
      </c>
      <c r="B3" s="1" t="s">
        <v>21</v>
      </c>
      <c r="C3" s="1" t="s">
        <v>22</v>
      </c>
      <c r="D3" s="1" t="s">
        <v>23</v>
      </c>
      <c r="E3" s="1" t="s">
        <v>24</v>
      </c>
      <c r="F3" s="1" t="s">
        <v>18</v>
      </c>
      <c r="G3" s="2">
        <v>450</v>
      </c>
      <c r="H3" s="3">
        <v>44909</v>
      </c>
      <c r="I3" s="1" t="s">
        <v>19</v>
      </c>
      <c r="J3" s="7">
        <f>DATE(YEAR(Attendees[[#This Row],[Registration Date]]),MONTH(Attendees[[#This Row],[Registration Date]]),1)</f>
        <v>44896</v>
      </c>
    </row>
    <row r="4" spans="1:10" ht="22" customHeight="1" x14ac:dyDescent="0.35">
      <c r="A4" s="1" t="s">
        <v>25</v>
      </c>
      <c r="B4" s="1" t="s">
        <v>26</v>
      </c>
      <c r="C4" s="1" t="s">
        <v>27</v>
      </c>
      <c r="D4" s="1" t="s">
        <v>28</v>
      </c>
      <c r="E4" s="1" t="s">
        <v>17</v>
      </c>
      <c r="F4" s="1" t="s">
        <v>29</v>
      </c>
      <c r="G4" s="2">
        <v>700</v>
      </c>
      <c r="H4" s="3">
        <v>44915</v>
      </c>
      <c r="I4" s="1" t="s">
        <v>19</v>
      </c>
      <c r="J4" s="7">
        <f>DATE(YEAR(Attendees[[#This Row],[Registration Date]]),MONTH(Attendees[[#This Row],[Registration Date]]),1)</f>
        <v>44896</v>
      </c>
    </row>
    <row r="5" spans="1:10" ht="22" customHeight="1" x14ac:dyDescent="0.35">
      <c r="A5" s="1" t="s">
        <v>30</v>
      </c>
      <c r="B5" s="1" t="s">
        <v>31</v>
      </c>
      <c r="C5" s="1" t="s">
        <v>32</v>
      </c>
      <c r="D5" s="1" t="s">
        <v>33</v>
      </c>
      <c r="E5" s="1" t="s">
        <v>24</v>
      </c>
      <c r="F5" s="1" t="s">
        <v>34</v>
      </c>
      <c r="G5" s="2">
        <v>300</v>
      </c>
      <c r="H5" s="3">
        <v>44921</v>
      </c>
      <c r="I5" s="1" t="s">
        <v>19</v>
      </c>
      <c r="J5" s="7">
        <f>DATE(YEAR(Attendees[[#This Row],[Registration Date]]),MONTH(Attendees[[#This Row],[Registration Date]]),1)</f>
        <v>44896</v>
      </c>
    </row>
    <row r="6" spans="1:10" ht="22" customHeight="1" x14ac:dyDescent="0.35">
      <c r="A6" s="1" t="s">
        <v>35</v>
      </c>
      <c r="B6" s="1" t="s">
        <v>36</v>
      </c>
      <c r="C6" s="1" t="s">
        <v>37</v>
      </c>
      <c r="D6" s="1" t="s">
        <v>38</v>
      </c>
      <c r="E6" s="1" t="s">
        <v>17</v>
      </c>
      <c r="F6" s="1" t="s">
        <v>18</v>
      </c>
      <c r="G6" s="2">
        <v>450</v>
      </c>
      <c r="H6" s="3">
        <v>44926</v>
      </c>
      <c r="I6" s="1" t="s">
        <v>19</v>
      </c>
      <c r="J6" s="7">
        <f>DATE(YEAR(Attendees[[#This Row],[Registration Date]]),MONTH(Attendees[[#This Row],[Registration Date]]),1)</f>
        <v>44896</v>
      </c>
    </row>
    <row r="7" spans="1:10" ht="22" customHeight="1" x14ac:dyDescent="0.35">
      <c r="A7" s="1" t="s">
        <v>39</v>
      </c>
      <c r="B7" s="1" t="s">
        <v>40</v>
      </c>
      <c r="C7" s="1" t="s">
        <v>41</v>
      </c>
      <c r="D7" s="1" t="s">
        <v>42</v>
      </c>
      <c r="E7" s="1" t="s">
        <v>24</v>
      </c>
      <c r="F7" s="1" t="s">
        <v>29</v>
      </c>
      <c r="G7" s="2">
        <v>700</v>
      </c>
      <c r="H7" s="3">
        <v>44937</v>
      </c>
      <c r="I7" s="1" t="s">
        <v>19</v>
      </c>
      <c r="J7" s="7">
        <f>DATE(YEAR(Attendees[[#This Row],[Registration Date]]),MONTH(Attendees[[#This Row],[Registration Date]]),1)</f>
        <v>44927</v>
      </c>
    </row>
    <row r="8" spans="1:10" ht="22" customHeight="1" x14ac:dyDescent="0.35">
      <c r="A8" s="1" t="s">
        <v>43</v>
      </c>
      <c r="B8" s="1" t="s">
        <v>44</v>
      </c>
      <c r="C8" s="1" t="s">
        <v>45</v>
      </c>
      <c r="D8" s="1" t="s">
        <v>46</v>
      </c>
      <c r="E8" s="1" t="s">
        <v>17</v>
      </c>
      <c r="F8" s="1" t="s">
        <v>34</v>
      </c>
      <c r="G8" s="2">
        <v>300</v>
      </c>
      <c r="H8" s="3">
        <v>44941</v>
      </c>
      <c r="I8" s="1" t="s">
        <v>19</v>
      </c>
      <c r="J8" s="7">
        <f>DATE(YEAR(Attendees[[#This Row],[Registration Date]]),MONTH(Attendees[[#This Row],[Registration Date]]),1)</f>
        <v>44927</v>
      </c>
    </row>
    <row r="9" spans="1:10" ht="22" customHeight="1" x14ac:dyDescent="0.35">
      <c r="A9" s="1" t="s">
        <v>47</v>
      </c>
      <c r="B9" s="1" t="s">
        <v>48</v>
      </c>
      <c r="C9" s="1" t="s">
        <v>49</v>
      </c>
      <c r="D9" s="1" t="s">
        <v>50</v>
      </c>
      <c r="E9" s="1" t="s">
        <v>24</v>
      </c>
      <c r="F9" s="1" t="s">
        <v>18</v>
      </c>
      <c r="G9" s="2">
        <v>450</v>
      </c>
      <c r="H9" s="3">
        <v>44943</v>
      </c>
      <c r="I9" s="1" t="s">
        <v>19</v>
      </c>
      <c r="J9" s="7">
        <f>DATE(YEAR(Attendees[[#This Row],[Registration Date]]),MONTH(Attendees[[#This Row],[Registration Date]]),1)</f>
        <v>44927</v>
      </c>
    </row>
    <row r="10" spans="1:10" ht="22" customHeight="1" x14ac:dyDescent="0.35">
      <c r="A10" s="1" t="s">
        <v>51</v>
      </c>
      <c r="B10" s="1" t="s">
        <v>52</v>
      </c>
      <c r="C10" s="1" t="s">
        <v>53</v>
      </c>
      <c r="D10" s="1" t="s">
        <v>54</v>
      </c>
      <c r="E10" s="1" t="s">
        <v>17</v>
      </c>
      <c r="F10" s="1" t="s">
        <v>29</v>
      </c>
      <c r="G10" s="2">
        <v>700</v>
      </c>
      <c r="H10" s="3">
        <v>44962</v>
      </c>
      <c r="I10" s="1" t="s">
        <v>19</v>
      </c>
      <c r="J10" s="7">
        <f>DATE(YEAR(Attendees[[#This Row],[Registration Date]]),MONTH(Attendees[[#This Row],[Registration Date]]),1)</f>
        <v>44958</v>
      </c>
    </row>
    <row r="11" spans="1:10" ht="22" customHeight="1" x14ac:dyDescent="0.35">
      <c r="A11" s="1" t="s">
        <v>55</v>
      </c>
      <c r="B11" s="1" t="s">
        <v>56</v>
      </c>
      <c r="C11" s="1" t="s">
        <v>57</v>
      </c>
      <c r="D11" s="1" t="s">
        <v>58</v>
      </c>
      <c r="E11" s="1" t="s">
        <v>24</v>
      </c>
      <c r="F11" s="1" t="s">
        <v>34</v>
      </c>
      <c r="G11" s="2">
        <v>300</v>
      </c>
      <c r="H11" s="3">
        <v>44966</v>
      </c>
      <c r="I11" s="1" t="s">
        <v>19</v>
      </c>
      <c r="J11" s="7">
        <f>DATE(YEAR(Attendees[[#This Row],[Registration Date]]),MONTH(Attendees[[#This Row],[Registration Date]]),1)</f>
        <v>44958</v>
      </c>
    </row>
    <row r="12" spans="1:10" ht="22" customHeight="1" x14ac:dyDescent="0.35">
      <c r="A12" s="1" t="s">
        <v>59</v>
      </c>
      <c r="B12" s="1" t="s">
        <v>60</v>
      </c>
      <c r="C12" s="1" t="s">
        <v>61</v>
      </c>
      <c r="D12" s="1" t="s">
        <v>62</v>
      </c>
      <c r="E12" s="1" t="s">
        <v>17</v>
      </c>
      <c r="F12" s="1" t="s">
        <v>18</v>
      </c>
      <c r="G12" s="2">
        <v>450</v>
      </c>
      <c r="H12" s="3">
        <v>44971</v>
      </c>
      <c r="I12" s="1" t="s">
        <v>19</v>
      </c>
      <c r="J12" s="7">
        <f>DATE(YEAR(Attendees[[#This Row],[Registration Date]]),MONTH(Attendees[[#This Row],[Registration Date]]),1)</f>
        <v>44958</v>
      </c>
    </row>
    <row r="13" spans="1:10" ht="22" customHeight="1" x14ac:dyDescent="0.35">
      <c r="A13" s="1" t="s">
        <v>63</v>
      </c>
      <c r="B13" s="1" t="s">
        <v>64</v>
      </c>
      <c r="C13" s="1" t="s">
        <v>65</v>
      </c>
      <c r="D13" s="1" t="s">
        <v>66</v>
      </c>
      <c r="E13" s="1" t="s">
        <v>24</v>
      </c>
      <c r="F13" s="1" t="s">
        <v>29</v>
      </c>
      <c r="G13" s="2">
        <v>700</v>
      </c>
      <c r="H13" s="3">
        <v>44975</v>
      </c>
      <c r="I13" s="1" t="s">
        <v>19</v>
      </c>
      <c r="J13" s="7">
        <f>DATE(YEAR(Attendees[[#This Row],[Registration Date]]),MONTH(Attendees[[#This Row],[Registration Date]]),1)</f>
        <v>44958</v>
      </c>
    </row>
    <row r="14" spans="1:10" ht="22" customHeight="1" x14ac:dyDescent="0.35">
      <c r="A14" s="1" t="s">
        <v>67</v>
      </c>
      <c r="B14" s="1" t="s">
        <v>68</v>
      </c>
      <c r="C14" s="1" t="s">
        <v>69</v>
      </c>
      <c r="D14" s="1" t="s">
        <v>70</v>
      </c>
      <c r="E14" s="1" t="s">
        <v>17</v>
      </c>
      <c r="F14" s="1" t="s">
        <v>34</v>
      </c>
      <c r="G14" s="2">
        <v>300</v>
      </c>
      <c r="H14" s="3">
        <v>44976</v>
      </c>
      <c r="I14" s="1" t="s">
        <v>19</v>
      </c>
      <c r="J14" s="7">
        <f>DATE(YEAR(Attendees[[#This Row],[Registration Date]]),MONTH(Attendees[[#This Row],[Registration Date]]),1)</f>
        <v>44958</v>
      </c>
    </row>
    <row r="15" spans="1:10" ht="22" customHeight="1" x14ac:dyDescent="0.35">
      <c r="A15" s="1" t="s">
        <v>71</v>
      </c>
      <c r="B15" s="1" t="s">
        <v>72</v>
      </c>
      <c r="C15" s="1" t="s">
        <v>73</v>
      </c>
      <c r="D15" s="1" t="s">
        <v>74</v>
      </c>
      <c r="E15" s="1" t="s">
        <v>24</v>
      </c>
      <c r="F15" s="1" t="s">
        <v>18</v>
      </c>
      <c r="G15" s="2">
        <v>450</v>
      </c>
      <c r="H15" s="3">
        <v>44978</v>
      </c>
      <c r="I15" s="1" t="s">
        <v>19</v>
      </c>
      <c r="J15" s="7">
        <f>DATE(YEAR(Attendees[[#This Row],[Registration Date]]),MONTH(Attendees[[#This Row],[Registration Date]]),1)</f>
        <v>44958</v>
      </c>
    </row>
    <row r="16" spans="1:10" ht="22" customHeight="1" x14ac:dyDescent="0.35">
      <c r="A16" s="1" t="s">
        <v>75</v>
      </c>
      <c r="B16" s="1" t="s">
        <v>76</v>
      </c>
      <c r="C16" s="1" t="s">
        <v>77</v>
      </c>
      <c r="D16" s="1" t="s">
        <v>78</v>
      </c>
      <c r="E16" s="1" t="s">
        <v>17</v>
      </c>
      <c r="F16" s="1" t="s">
        <v>29</v>
      </c>
      <c r="G16" s="2">
        <v>700</v>
      </c>
      <c r="H16" s="3">
        <v>44979</v>
      </c>
      <c r="I16" s="1" t="s">
        <v>19</v>
      </c>
      <c r="J16" s="7">
        <f>DATE(YEAR(Attendees[[#This Row],[Registration Date]]),MONTH(Attendees[[#This Row],[Registration Date]]),1)</f>
        <v>44958</v>
      </c>
    </row>
    <row r="17" spans="1:10" ht="22" customHeight="1" x14ac:dyDescent="0.35">
      <c r="A17" s="1" t="s">
        <v>79</v>
      </c>
      <c r="B17" s="1" t="s">
        <v>80</v>
      </c>
      <c r="C17" s="1" t="s">
        <v>81</v>
      </c>
      <c r="D17" s="1" t="s">
        <v>82</v>
      </c>
      <c r="E17" s="1" t="s">
        <v>24</v>
      </c>
      <c r="F17" s="1" t="s">
        <v>34</v>
      </c>
      <c r="G17" s="2">
        <v>300</v>
      </c>
      <c r="H17" s="3">
        <v>44982</v>
      </c>
      <c r="I17" s="1" t="s">
        <v>19</v>
      </c>
      <c r="J17" s="7">
        <f>DATE(YEAR(Attendees[[#This Row],[Registration Date]]),MONTH(Attendees[[#This Row],[Registration Date]]),1)</f>
        <v>44958</v>
      </c>
    </row>
    <row r="18" spans="1:10" ht="22" customHeight="1" x14ac:dyDescent="0.35">
      <c r="A18" s="1" t="s">
        <v>83</v>
      </c>
      <c r="B18" s="1" t="s">
        <v>84</v>
      </c>
      <c r="C18" s="1" t="s">
        <v>85</v>
      </c>
      <c r="D18" s="1" t="s">
        <v>86</v>
      </c>
      <c r="E18" s="1" t="s">
        <v>17</v>
      </c>
      <c r="F18" s="1" t="s">
        <v>18</v>
      </c>
      <c r="G18" s="2">
        <v>450</v>
      </c>
      <c r="H18" s="3">
        <v>44999</v>
      </c>
      <c r="I18" s="1" t="s">
        <v>19</v>
      </c>
      <c r="J18" s="7">
        <f>DATE(YEAR(Attendees[[#This Row],[Registration Date]]),MONTH(Attendees[[#This Row],[Registration Date]]),1)</f>
        <v>44986</v>
      </c>
    </row>
    <row r="19" spans="1:10" ht="22" customHeight="1" x14ac:dyDescent="0.35">
      <c r="A19" s="1" t="s">
        <v>87</v>
      </c>
      <c r="B19" s="1" t="s">
        <v>88</v>
      </c>
      <c r="C19" s="1" t="s">
        <v>89</v>
      </c>
      <c r="D19" s="1" t="s">
        <v>90</v>
      </c>
      <c r="E19" s="1" t="s">
        <v>24</v>
      </c>
      <c r="F19" s="1" t="s">
        <v>29</v>
      </c>
      <c r="G19" s="2">
        <v>700</v>
      </c>
      <c r="H19" s="3">
        <v>45019</v>
      </c>
      <c r="I19" s="1" t="s">
        <v>19</v>
      </c>
      <c r="J19" s="7">
        <f>DATE(YEAR(Attendees[[#This Row],[Registration Date]]),MONTH(Attendees[[#This Row],[Registration Date]]),1)</f>
        <v>45017</v>
      </c>
    </row>
    <row r="20" spans="1:10" ht="22" customHeight="1" x14ac:dyDescent="0.35">
      <c r="A20" s="1" t="s">
        <v>91</v>
      </c>
      <c r="B20" s="1" t="s">
        <v>92</v>
      </c>
      <c r="C20" s="1" t="s">
        <v>93</v>
      </c>
      <c r="D20" s="1" t="s">
        <v>94</v>
      </c>
      <c r="E20" s="1" t="s">
        <v>17</v>
      </c>
      <c r="F20" s="1" t="s">
        <v>34</v>
      </c>
      <c r="G20" s="2">
        <v>300</v>
      </c>
      <c r="H20" s="3">
        <v>45026</v>
      </c>
      <c r="I20" s="1" t="s">
        <v>19</v>
      </c>
      <c r="J20" s="7">
        <f>DATE(YEAR(Attendees[[#This Row],[Registration Date]]),MONTH(Attendees[[#This Row],[Registration Date]]),1)</f>
        <v>45017</v>
      </c>
    </row>
    <row r="21" spans="1:10" ht="22" customHeight="1" x14ac:dyDescent="0.35">
      <c r="A21" s="1" t="s">
        <v>95</v>
      </c>
      <c r="B21" s="1" t="s">
        <v>96</v>
      </c>
      <c r="C21" s="1" t="s">
        <v>97</v>
      </c>
      <c r="D21" s="1" t="s">
        <v>98</v>
      </c>
      <c r="E21" s="1" t="s">
        <v>24</v>
      </c>
      <c r="F21" s="1" t="s">
        <v>18</v>
      </c>
      <c r="G21" s="2">
        <v>450</v>
      </c>
      <c r="H21" s="3">
        <v>45028</v>
      </c>
      <c r="I21" s="1" t="s">
        <v>19</v>
      </c>
      <c r="J21" s="7">
        <f>DATE(YEAR(Attendees[[#This Row],[Registration Date]]),MONTH(Attendees[[#This Row],[Registration Date]]),1)</f>
        <v>45017</v>
      </c>
    </row>
    <row r="22" spans="1:10" ht="22" customHeight="1" x14ac:dyDescent="0.35">
      <c r="A22" s="1" t="s">
        <v>99</v>
      </c>
      <c r="B22" s="1" t="s">
        <v>100</v>
      </c>
      <c r="C22" s="1" t="s">
        <v>101</v>
      </c>
      <c r="D22" s="1" t="s">
        <v>102</v>
      </c>
      <c r="E22" s="1" t="s">
        <v>17</v>
      </c>
      <c r="F22" s="1" t="s">
        <v>29</v>
      </c>
      <c r="G22" s="2">
        <v>700</v>
      </c>
      <c r="H22" s="3">
        <v>45036</v>
      </c>
      <c r="I22" s="1" t="s">
        <v>19</v>
      </c>
      <c r="J22" s="7">
        <f>DATE(YEAR(Attendees[[#This Row],[Registration Date]]),MONTH(Attendees[[#This Row],[Registration Date]]),1)</f>
        <v>45017</v>
      </c>
    </row>
    <row r="23" spans="1:10" ht="22" customHeight="1" x14ac:dyDescent="0.35">
      <c r="A23" s="1" t="s">
        <v>103</v>
      </c>
      <c r="B23" s="1" t="s">
        <v>104</v>
      </c>
      <c r="C23" s="1" t="s">
        <v>105</v>
      </c>
      <c r="D23" s="1" t="s">
        <v>106</v>
      </c>
      <c r="E23" s="1" t="s">
        <v>24</v>
      </c>
      <c r="F23" s="1" t="s">
        <v>34</v>
      </c>
      <c r="G23" s="2">
        <v>300</v>
      </c>
      <c r="H23" s="3">
        <v>45040</v>
      </c>
      <c r="I23" s="1" t="s">
        <v>19</v>
      </c>
      <c r="J23" s="7">
        <f>DATE(YEAR(Attendees[[#This Row],[Registration Date]]),MONTH(Attendees[[#This Row],[Registration Date]]),1)</f>
        <v>45017</v>
      </c>
    </row>
    <row r="24" spans="1:10" ht="22" customHeight="1" x14ac:dyDescent="0.35">
      <c r="A24" s="1" t="s">
        <v>107</v>
      </c>
      <c r="B24" s="1" t="s">
        <v>108</v>
      </c>
      <c r="C24" s="1" t="s">
        <v>109</v>
      </c>
      <c r="D24" s="1" t="s">
        <v>110</v>
      </c>
      <c r="E24" s="1" t="s">
        <v>17</v>
      </c>
      <c r="F24" s="1" t="s">
        <v>18</v>
      </c>
      <c r="G24" s="2">
        <v>450</v>
      </c>
      <c r="H24" s="3">
        <v>45041</v>
      </c>
      <c r="I24" s="1" t="s">
        <v>19</v>
      </c>
      <c r="J24" s="7">
        <f>DATE(YEAR(Attendees[[#This Row],[Registration Date]]),MONTH(Attendees[[#This Row],[Registration Date]]),1)</f>
        <v>45017</v>
      </c>
    </row>
    <row r="25" spans="1:10" ht="22" customHeight="1" x14ac:dyDescent="0.35">
      <c r="A25" s="1" t="s">
        <v>111</v>
      </c>
      <c r="B25" s="1" t="s">
        <v>112</v>
      </c>
      <c r="C25" s="1" t="s">
        <v>113</v>
      </c>
      <c r="D25" s="1" t="s">
        <v>114</v>
      </c>
      <c r="E25" s="1" t="s">
        <v>24</v>
      </c>
      <c r="F25" s="1" t="s">
        <v>29</v>
      </c>
      <c r="G25" s="2">
        <v>700</v>
      </c>
      <c r="H25" s="3">
        <v>45048</v>
      </c>
      <c r="I25" s="1" t="s">
        <v>19</v>
      </c>
      <c r="J25" s="7">
        <f>DATE(YEAR(Attendees[[#This Row],[Registration Date]]),MONTH(Attendees[[#This Row],[Registration Date]]),1)</f>
        <v>45047</v>
      </c>
    </row>
    <row r="26" spans="1:10" ht="22" customHeight="1" x14ac:dyDescent="0.35">
      <c r="A26" s="1" t="s">
        <v>115</v>
      </c>
      <c r="B26" s="1" t="s">
        <v>116</v>
      </c>
      <c r="C26" s="1" t="s">
        <v>117</v>
      </c>
      <c r="D26" s="1" t="s">
        <v>118</v>
      </c>
      <c r="E26" s="1" t="s">
        <v>17</v>
      </c>
      <c r="F26" s="1" t="s">
        <v>34</v>
      </c>
      <c r="G26" s="2">
        <v>300</v>
      </c>
      <c r="H26" s="3">
        <v>45071</v>
      </c>
      <c r="I26" s="1" t="s">
        <v>19</v>
      </c>
      <c r="J26" s="7">
        <f>DATE(YEAR(Attendees[[#This Row],[Registration Date]]),MONTH(Attendees[[#This Row],[Registration Date]]),1)</f>
        <v>45047</v>
      </c>
    </row>
    <row r="27" spans="1:10" ht="22" customHeight="1" x14ac:dyDescent="0.35">
      <c r="A27" s="1" t="s">
        <v>119</v>
      </c>
      <c r="B27" s="1" t="s">
        <v>120</v>
      </c>
      <c r="C27" s="1" t="s">
        <v>121</v>
      </c>
      <c r="D27" s="1" t="s">
        <v>122</v>
      </c>
      <c r="E27" s="1" t="s">
        <v>24</v>
      </c>
      <c r="F27" s="1" t="s">
        <v>18</v>
      </c>
      <c r="G27" s="2">
        <v>450</v>
      </c>
      <c r="H27" s="3">
        <v>45072</v>
      </c>
      <c r="I27" s="1" t="s">
        <v>19</v>
      </c>
      <c r="J27" s="7">
        <f>DATE(YEAR(Attendees[[#This Row],[Registration Date]]),MONTH(Attendees[[#This Row],[Registration Date]]),1)</f>
        <v>45047</v>
      </c>
    </row>
    <row r="28" spans="1:10" ht="22" customHeight="1" x14ac:dyDescent="0.35">
      <c r="A28" s="1" t="s">
        <v>123</v>
      </c>
      <c r="B28" s="1" t="s">
        <v>124</v>
      </c>
      <c r="C28" s="1" t="s">
        <v>125</v>
      </c>
      <c r="D28" s="1" t="s">
        <v>126</v>
      </c>
      <c r="E28" s="1" t="s">
        <v>17</v>
      </c>
      <c r="F28" s="1" t="s">
        <v>29</v>
      </c>
      <c r="G28" s="2">
        <v>700</v>
      </c>
      <c r="H28" s="3">
        <v>45094</v>
      </c>
      <c r="I28" s="1" t="s">
        <v>19</v>
      </c>
      <c r="J28" s="7">
        <f>DATE(YEAR(Attendees[[#This Row],[Registration Date]]),MONTH(Attendees[[#This Row],[Registration Date]]),1)</f>
        <v>45078</v>
      </c>
    </row>
    <row r="29" spans="1:10" ht="22" customHeight="1" x14ac:dyDescent="0.35">
      <c r="A29" s="1" t="s">
        <v>127</v>
      </c>
      <c r="B29" s="1" t="s">
        <v>128</v>
      </c>
      <c r="C29" s="1" t="s">
        <v>129</v>
      </c>
      <c r="D29" s="1" t="s">
        <v>130</v>
      </c>
      <c r="E29" s="1" t="s">
        <v>24</v>
      </c>
      <c r="F29" s="1" t="s">
        <v>34</v>
      </c>
      <c r="G29" s="2">
        <v>300</v>
      </c>
      <c r="H29" s="3">
        <v>45101</v>
      </c>
      <c r="I29" s="1" t="s">
        <v>19</v>
      </c>
      <c r="J29" s="7">
        <f>DATE(YEAR(Attendees[[#This Row],[Registration Date]]),MONTH(Attendees[[#This Row],[Registration Date]]),1)</f>
        <v>45078</v>
      </c>
    </row>
    <row r="30" spans="1:10" ht="22" customHeight="1" x14ac:dyDescent="0.35">
      <c r="A30" s="1" t="s">
        <v>131</v>
      </c>
      <c r="B30" s="1" t="s">
        <v>132</v>
      </c>
      <c r="C30" s="1" t="s">
        <v>133</v>
      </c>
      <c r="D30" s="1" t="s">
        <v>134</v>
      </c>
      <c r="E30" s="1" t="s">
        <v>17</v>
      </c>
      <c r="F30" s="1" t="s">
        <v>18</v>
      </c>
      <c r="G30" s="2">
        <v>450</v>
      </c>
      <c r="H30" s="3">
        <v>45113</v>
      </c>
      <c r="I30" s="1" t="s">
        <v>19</v>
      </c>
      <c r="J30" s="7">
        <f>DATE(YEAR(Attendees[[#This Row],[Registration Date]]),MONTH(Attendees[[#This Row],[Registration Date]]),1)</f>
        <v>45108</v>
      </c>
    </row>
    <row r="31" spans="1:10" ht="22" customHeight="1" x14ac:dyDescent="0.35">
      <c r="A31" s="1" t="s">
        <v>135</v>
      </c>
      <c r="B31" s="1" t="s">
        <v>136</v>
      </c>
      <c r="C31" s="1" t="s">
        <v>137</v>
      </c>
      <c r="D31" s="1" t="s">
        <v>138</v>
      </c>
      <c r="E31" s="1" t="s">
        <v>24</v>
      </c>
      <c r="F31" s="1" t="s">
        <v>29</v>
      </c>
      <c r="G31" s="2">
        <v>700</v>
      </c>
      <c r="H31" s="3">
        <v>45114</v>
      </c>
      <c r="I31" s="1" t="s">
        <v>19</v>
      </c>
      <c r="J31" s="7">
        <f>DATE(YEAR(Attendees[[#This Row],[Registration Date]]),MONTH(Attendees[[#This Row],[Registration Date]]),1)</f>
        <v>45108</v>
      </c>
    </row>
    <row r="32" spans="1:10" ht="22" customHeight="1" x14ac:dyDescent="0.35">
      <c r="A32" s="1" t="s">
        <v>139</v>
      </c>
      <c r="B32" s="1" t="s">
        <v>140</v>
      </c>
      <c r="C32" s="1" t="s">
        <v>141</v>
      </c>
      <c r="D32" s="1" t="s">
        <v>142</v>
      </c>
      <c r="E32" s="1" t="s">
        <v>17</v>
      </c>
      <c r="F32" s="1" t="s">
        <v>34</v>
      </c>
      <c r="G32" s="2">
        <v>300</v>
      </c>
      <c r="H32" s="3">
        <v>45131</v>
      </c>
      <c r="I32" s="1" t="s">
        <v>19</v>
      </c>
      <c r="J32" s="7">
        <f>DATE(YEAR(Attendees[[#This Row],[Registration Date]]),MONTH(Attendees[[#This Row],[Registration Date]]),1)</f>
        <v>45108</v>
      </c>
    </row>
    <row r="33" spans="1:10" ht="22" customHeight="1" x14ac:dyDescent="0.35">
      <c r="A33" s="1" t="s">
        <v>143</v>
      </c>
      <c r="B33" s="1" t="s">
        <v>144</v>
      </c>
      <c r="C33" s="1" t="s">
        <v>145</v>
      </c>
      <c r="D33" s="1" t="s">
        <v>146</v>
      </c>
      <c r="E33" s="1" t="s">
        <v>24</v>
      </c>
      <c r="F33" s="1" t="s">
        <v>18</v>
      </c>
      <c r="G33" s="2">
        <v>450</v>
      </c>
      <c r="H33" s="3">
        <v>45133</v>
      </c>
      <c r="I33" s="1" t="s">
        <v>19</v>
      </c>
      <c r="J33" s="7">
        <f>DATE(YEAR(Attendees[[#This Row],[Registration Date]]),MONTH(Attendees[[#This Row],[Registration Date]]),1)</f>
        <v>45108</v>
      </c>
    </row>
    <row r="34" spans="1:10" ht="22" customHeight="1" x14ac:dyDescent="0.35">
      <c r="A34" s="1" t="s">
        <v>147</v>
      </c>
      <c r="B34" s="1" t="s">
        <v>148</v>
      </c>
      <c r="C34" s="1" t="s">
        <v>149</v>
      </c>
      <c r="D34" s="1" t="s">
        <v>150</v>
      </c>
      <c r="E34" s="1" t="s">
        <v>17</v>
      </c>
      <c r="F34" s="1" t="s">
        <v>29</v>
      </c>
      <c r="G34" s="2">
        <v>700</v>
      </c>
      <c r="H34" s="3">
        <v>45138</v>
      </c>
      <c r="I34" s="1" t="s">
        <v>19</v>
      </c>
      <c r="J34" s="7">
        <f>DATE(YEAR(Attendees[[#This Row],[Registration Date]]),MONTH(Attendees[[#This Row],[Registration Date]]),1)</f>
        <v>45108</v>
      </c>
    </row>
    <row r="35" spans="1:10" ht="22" customHeight="1" x14ac:dyDescent="0.35">
      <c r="A35" s="1" t="s">
        <v>151</v>
      </c>
      <c r="B35" s="1" t="s">
        <v>152</v>
      </c>
      <c r="C35" s="1" t="s">
        <v>153</v>
      </c>
      <c r="D35" s="1" t="s">
        <v>154</v>
      </c>
      <c r="E35" s="1" t="s">
        <v>24</v>
      </c>
      <c r="F35" s="1" t="s">
        <v>34</v>
      </c>
      <c r="G35" s="2">
        <v>300</v>
      </c>
      <c r="H35" s="3">
        <v>45142</v>
      </c>
      <c r="I35" s="1" t="s">
        <v>19</v>
      </c>
      <c r="J35" s="7">
        <f>DATE(YEAR(Attendees[[#This Row],[Registration Date]]),MONTH(Attendees[[#This Row],[Registration Date]]),1)</f>
        <v>45139</v>
      </c>
    </row>
    <row r="36" spans="1:10" ht="22" customHeight="1" x14ac:dyDescent="0.35">
      <c r="A36" s="1" t="s">
        <v>155</v>
      </c>
      <c r="B36" s="1" t="s">
        <v>156</v>
      </c>
      <c r="C36" s="1" t="s">
        <v>157</v>
      </c>
      <c r="D36" s="1" t="s">
        <v>158</v>
      </c>
      <c r="E36" s="1" t="s">
        <v>17</v>
      </c>
      <c r="F36" s="1" t="s">
        <v>18</v>
      </c>
      <c r="G36" s="2">
        <v>450</v>
      </c>
      <c r="H36" s="3">
        <v>45155</v>
      </c>
      <c r="I36" s="1" t="s">
        <v>19</v>
      </c>
      <c r="J36" s="7">
        <f>DATE(YEAR(Attendees[[#This Row],[Registration Date]]),MONTH(Attendees[[#This Row],[Registration Date]]),1)</f>
        <v>45139</v>
      </c>
    </row>
    <row r="37" spans="1:10" ht="22" customHeight="1" x14ac:dyDescent="0.35">
      <c r="A37" s="1" t="s">
        <v>159</v>
      </c>
      <c r="B37" s="1" t="s">
        <v>160</v>
      </c>
      <c r="C37" s="1" t="s">
        <v>161</v>
      </c>
      <c r="D37" s="1" t="s">
        <v>162</v>
      </c>
      <c r="E37" s="1" t="s">
        <v>24</v>
      </c>
      <c r="F37" s="1" t="s">
        <v>29</v>
      </c>
      <c r="G37" s="2">
        <v>700</v>
      </c>
      <c r="H37" s="3">
        <v>45155</v>
      </c>
      <c r="I37" s="1" t="s">
        <v>19</v>
      </c>
      <c r="J37" s="7">
        <f>DATE(YEAR(Attendees[[#This Row],[Registration Date]]),MONTH(Attendees[[#This Row],[Registration Date]]),1)</f>
        <v>45139</v>
      </c>
    </row>
    <row r="38" spans="1:10" ht="22" customHeight="1" x14ac:dyDescent="0.35">
      <c r="A38" s="1" t="s">
        <v>163</v>
      </c>
      <c r="B38" s="1" t="s">
        <v>164</v>
      </c>
      <c r="C38" s="1" t="s">
        <v>165</v>
      </c>
      <c r="D38" s="1" t="s">
        <v>166</v>
      </c>
      <c r="E38" s="1" t="s">
        <v>17</v>
      </c>
      <c r="F38" s="1" t="s">
        <v>34</v>
      </c>
      <c r="G38" s="2">
        <v>300</v>
      </c>
      <c r="H38" s="3">
        <v>45178</v>
      </c>
      <c r="I38" s="1" t="s">
        <v>19</v>
      </c>
      <c r="J38" s="7">
        <f>DATE(YEAR(Attendees[[#This Row],[Registration Date]]),MONTH(Attendees[[#This Row],[Registration Date]]),1)</f>
        <v>45170</v>
      </c>
    </row>
    <row r="39" spans="1:10" ht="22" customHeight="1" x14ac:dyDescent="0.35">
      <c r="A39" s="1" t="s">
        <v>167</v>
      </c>
      <c r="B39" s="1" t="s">
        <v>168</v>
      </c>
      <c r="C39" s="1" t="s">
        <v>169</v>
      </c>
      <c r="D39" s="1" t="s">
        <v>170</v>
      </c>
      <c r="E39" s="1" t="s">
        <v>24</v>
      </c>
      <c r="F39" s="1" t="s">
        <v>18</v>
      </c>
      <c r="G39" s="2">
        <v>450</v>
      </c>
      <c r="H39" s="3">
        <v>45180</v>
      </c>
      <c r="I39" s="1" t="s">
        <v>19</v>
      </c>
      <c r="J39" s="7">
        <f>DATE(YEAR(Attendees[[#This Row],[Registration Date]]),MONTH(Attendees[[#This Row],[Registration Date]]),1)</f>
        <v>45170</v>
      </c>
    </row>
    <row r="40" spans="1:10" ht="22" customHeight="1" x14ac:dyDescent="0.35">
      <c r="A40" s="1" t="s">
        <v>171</v>
      </c>
      <c r="B40" s="1" t="s">
        <v>172</v>
      </c>
      <c r="C40" s="1" t="s">
        <v>173</v>
      </c>
      <c r="D40" s="1" t="s">
        <v>174</v>
      </c>
      <c r="E40" s="1" t="s">
        <v>17</v>
      </c>
      <c r="F40" s="1" t="s">
        <v>29</v>
      </c>
      <c r="G40" s="2">
        <v>700</v>
      </c>
      <c r="H40" s="3">
        <v>45199</v>
      </c>
      <c r="I40" s="1" t="s">
        <v>19</v>
      </c>
      <c r="J40" s="7">
        <f>DATE(YEAR(Attendees[[#This Row],[Registration Date]]),MONTH(Attendees[[#This Row],[Registration Date]]),1)</f>
        <v>45170</v>
      </c>
    </row>
    <row r="41" spans="1:10" ht="22" customHeight="1" x14ac:dyDescent="0.35">
      <c r="A41" s="1" t="s">
        <v>175</v>
      </c>
      <c r="B41" s="1" t="s">
        <v>176</v>
      </c>
      <c r="C41" s="1" t="s">
        <v>177</v>
      </c>
      <c r="D41" s="1" t="s">
        <v>178</v>
      </c>
      <c r="E41" s="1" t="s">
        <v>24</v>
      </c>
      <c r="F41" s="1" t="s">
        <v>34</v>
      </c>
      <c r="G41" s="2">
        <v>300</v>
      </c>
      <c r="H41" s="3">
        <v>45213</v>
      </c>
      <c r="I41" s="1" t="s">
        <v>19</v>
      </c>
      <c r="J41" s="7">
        <f>DATE(YEAR(Attendees[[#This Row],[Registration Date]]),MONTH(Attendees[[#This Row],[Registration Date]]),1)</f>
        <v>45200</v>
      </c>
    </row>
    <row r="42" spans="1:10" ht="22" customHeight="1" x14ac:dyDescent="0.35">
      <c r="A42" s="1" t="s">
        <v>179</v>
      </c>
      <c r="B42" s="1" t="s">
        <v>180</v>
      </c>
      <c r="C42" s="1" t="s">
        <v>181</v>
      </c>
      <c r="D42" s="1" t="s">
        <v>182</v>
      </c>
      <c r="E42" s="1" t="s">
        <v>17</v>
      </c>
      <c r="F42" s="1" t="s">
        <v>18</v>
      </c>
      <c r="G42" s="2">
        <v>450</v>
      </c>
      <c r="H42" s="3">
        <v>45215</v>
      </c>
      <c r="I42" s="1" t="s">
        <v>19</v>
      </c>
      <c r="J42" s="7">
        <f>DATE(YEAR(Attendees[[#This Row],[Registration Date]]),MONTH(Attendees[[#This Row],[Registration Date]]),1)</f>
        <v>45200</v>
      </c>
    </row>
    <row r="43" spans="1:10" ht="22" customHeight="1" x14ac:dyDescent="0.35">
      <c r="A43" s="1" t="s">
        <v>183</v>
      </c>
      <c r="B43" s="1" t="s">
        <v>184</v>
      </c>
      <c r="C43" s="1" t="s">
        <v>185</v>
      </c>
      <c r="D43" s="1" t="s">
        <v>186</v>
      </c>
      <c r="E43" s="1" t="s">
        <v>24</v>
      </c>
      <c r="F43" s="1" t="s">
        <v>29</v>
      </c>
      <c r="G43" s="2">
        <v>700</v>
      </c>
      <c r="H43" s="3">
        <v>45224</v>
      </c>
      <c r="I43" s="1" t="s">
        <v>19</v>
      </c>
      <c r="J43" s="7">
        <f>DATE(YEAR(Attendees[[#This Row],[Registration Date]]),MONTH(Attendees[[#This Row],[Registration Date]]),1)</f>
        <v>45200</v>
      </c>
    </row>
    <row r="44" spans="1:10" ht="22" customHeight="1" x14ac:dyDescent="0.35">
      <c r="A44" s="1" t="s">
        <v>187</v>
      </c>
      <c r="B44" s="1" t="s">
        <v>188</v>
      </c>
      <c r="C44" s="1" t="s">
        <v>189</v>
      </c>
      <c r="D44" s="1" t="s">
        <v>190</v>
      </c>
      <c r="E44" s="1" t="s">
        <v>17</v>
      </c>
      <c r="F44" s="1" t="s">
        <v>34</v>
      </c>
      <c r="G44" s="2">
        <v>300</v>
      </c>
      <c r="H44" s="3">
        <v>45230</v>
      </c>
      <c r="I44" s="1" t="s">
        <v>19</v>
      </c>
      <c r="J44" s="7">
        <f>DATE(YEAR(Attendees[[#This Row],[Registration Date]]),MONTH(Attendees[[#This Row],[Registration Date]]),1)</f>
        <v>45200</v>
      </c>
    </row>
    <row r="45" spans="1:10" ht="22" customHeight="1" x14ac:dyDescent="0.35">
      <c r="A45" s="1" t="s">
        <v>191</v>
      </c>
      <c r="B45" s="1" t="s">
        <v>192</v>
      </c>
      <c r="C45" s="1" t="s">
        <v>193</v>
      </c>
      <c r="D45" s="1" t="s">
        <v>194</v>
      </c>
      <c r="E45" s="1" t="s">
        <v>24</v>
      </c>
      <c r="F45" s="1" t="s">
        <v>18</v>
      </c>
      <c r="G45" s="2">
        <v>450</v>
      </c>
      <c r="H45" s="3">
        <v>45233</v>
      </c>
      <c r="I45" s="1" t="s">
        <v>19</v>
      </c>
      <c r="J45" s="7">
        <f>DATE(YEAR(Attendees[[#This Row],[Registration Date]]),MONTH(Attendees[[#This Row],[Registration Date]]),1)</f>
        <v>45231</v>
      </c>
    </row>
    <row r="46" spans="1:10" ht="22" customHeight="1" x14ac:dyDescent="0.35">
      <c r="A46" s="1" t="s">
        <v>195</v>
      </c>
      <c r="B46" s="1" t="s">
        <v>196</v>
      </c>
      <c r="C46" s="1" t="s">
        <v>197</v>
      </c>
      <c r="D46" s="1" t="s">
        <v>198</v>
      </c>
      <c r="E46" s="1" t="s">
        <v>17</v>
      </c>
      <c r="F46" s="1" t="s">
        <v>29</v>
      </c>
      <c r="G46" s="2">
        <v>700</v>
      </c>
      <c r="H46" s="3">
        <v>45260</v>
      </c>
      <c r="I46" s="1" t="s">
        <v>19</v>
      </c>
      <c r="J46" s="7">
        <f>DATE(YEAR(Attendees[[#This Row],[Registration Date]]),MONTH(Attendees[[#This Row],[Registration Date]]),1)</f>
        <v>45231</v>
      </c>
    </row>
    <row r="47" spans="1:10" ht="22" customHeight="1" x14ac:dyDescent="0.35">
      <c r="A47" s="1" t="s">
        <v>199</v>
      </c>
      <c r="B47" s="1" t="s">
        <v>200</v>
      </c>
      <c r="C47" s="1" t="s">
        <v>201</v>
      </c>
      <c r="D47" s="1" t="s">
        <v>202</v>
      </c>
      <c r="E47" s="1" t="s">
        <v>24</v>
      </c>
      <c r="F47" s="1" t="s">
        <v>34</v>
      </c>
      <c r="G47" s="2">
        <v>300</v>
      </c>
      <c r="H47" s="3">
        <v>45263</v>
      </c>
      <c r="I47" s="1" t="s">
        <v>19</v>
      </c>
      <c r="J47" s="7">
        <f>DATE(YEAR(Attendees[[#This Row],[Registration Date]]),MONTH(Attendees[[#This Row],[Registration Date]]),1)</f>
        <v>45261</v>
      </c>
    </row>
    <row r="48" spans="1:10" ht="22" customHeight="1" x14ac:dyDescent="0.35">
      <c r="A48" s="1" t="s">
        <v>203</v>
      </c>
      <c r="B48" s="1" t="s">
        <v>204</v>
      </c>
      <c r="C48" s="1" t="s">
        <v>205</v>
      </c>
      <c r="D48" s="1" t="s">
        <v>206</v>
      </c>
      <c r="E48" s="1" t="s">
        <v>17</v>
      </c>
      <c r="F48" s="1" t="s">
        <v>18</v>
      </c>
      <c r="G48" s="2">
        <v>450</v>
      </c>
      <c r="H48" s="3">
        <v>45269</v>
      </c>
      <c r="I48" s="1" t="s">
        <v>19</v>
      </c>
      <c r="J48" s="7">
        <f>DATE(YEAR(Attendees[[#This Row],[Registration Date]]),MONTH(Attendees[[#This Row],[Registration Date]]),1)</f>
        <v>45261</v>
      </c>
    </row>
    <row r="49" spans="1:10" ht="22" customHeight="1" x14ac:dyDescent="0.35">
      <c r="A49" s="1" t="s">
        <v>207</v>
      </c>
      <c r="B49" s="1" t="s">
        <v>208</v>
      </c>
      <c r="C49" s="1" t="s">
        <v>209</v>
      </c>
      <c r="D49" s="1" t="s">
        <v>210</v>
      </c>
      <c r="E49" s="1" t="s">
        <v>24</v>
      </c>
      <c r="F49" s="1" t="s">
        <v>29</v>
      </c>
      <c r="G49" s="2">
        <v>700</v>
      </c>
      <c r="H49" s="3">
        <v>45299</v>
      </c>
      <c r="I49" s="1" t="s">
        <v>19</v>
      </c>
      <c r="J49" s="7">
        <f>DATE(YEAR(Attendees[[#This Row],[Registration Date]]),MONTH(Attendees[[#This Row],[Registration Date]]),1)</f>
        <v>45292</v>
      </c>
    </row>
    <row r="50" spans="1:10" ht="22" customHeight="1" x14ac:dyDescent="0.35">
      <c r="A50" s="1" t="s">
        <v>211</v>
      </c>
      <c r="B50" s="1" t="s">
        <v>212</v>
      </c>
      <c r="C50" s="1" t="s">
        <v>213</v>
      </c>
      <c r="D50" s="1" t="s">
        <v>214</v>
      </c>
      <c r="E50" s="1" t="s">
        <v>17</v>
      </c>
      <c r="F50" s="1" t="s">
        <v>34</v>
      </c>
      <c r="G50" s="2">
        <v>300</v>
      </c>
      <c r="H50" s="3">
        <v>45307</v>
      </c>
      <c r="I50" s="1" t="s">
        <v>19</v>
      </c>
      <c r="J50" s="7">
        <f>DATE(YEAR(Attendees[[#This Row],[Registration Date]]),MONTH(Attendees[[#This Row],[Registration Date]]),1)</f>
        <v>45292</v>
      </c>
    </row>
    <row r="51" spans="1:10" ht="22" customHeight="1" x14ac:dyDescent="0.35">
      <c r="A51" s="1" t="s">
        <v>215</v>
      </c>
      <c r="B51" s="1" t="s">
        <v>216</v>
      </c>
      <c r="C51" s="1" t="s">
        <v>217</v>
      </c>
      <c r="D51" s="1" t="s">
        <v>218</v>
      </c>
      <c r="E51" s="1" t="s">
        <v>24</v>
      </c>
      <c r="F51" s="1" t="s">
        <v>18</v>
      </c>
      <c r="G51" s="2">
        <v>450</v>
      </c>
      <c r="H51" s="3">
        <v>45313</v>
      </c>
      <c r="I51" s="1" t="s">
        <v>19</v>
      </c>
      <c r="J51" s="7">
        <f>DATE(YEAR(Attendees[[#This Row],[Registration Date]]),MONTH(Attendees[[#This Row],[Registration Date]]),1)</f>
        <v>45292</v>
      </c>
    </row>
    <row r="52" spans="1:10" ht="22" customHeight="1" x14ac:dyDescent="0.35">
      <c r="A52" s="1" t="s">
        <v>219</v>
      </c>
      <c r="B52" s="1" t="s">
        <v>220</v>
      </c>
      <c r="C52" s="1" t="s">
        <v>221</v>
      </c>
      <c r="D52" s="1" t="s">
        <v>222</v>
      </c>
      <c r="E52" s="1" t="s">
        <v>17</v>
      </c>
      <c r="F52" s="1" t="s">
        <v>29</v>
      </c>
      <c r="G52" s="2">
        <v>700</v>
      </c>
      <c r="H52" s="3">
        <v>45313</v>
      </c>
      <c r="I52" s="1" t="s">
        <v>19</v>
      </c>
      <c r="J52" s="7">
        <f>DATE(YEAR(Attendees[[#This Row],[Registration Date]]),MONTH(Attendees[[#This Row],[Registration Date]]),1)</f>
        <v>45292</v>
      </c>
    </row>
    <row r="53" spans="1:10" ht="22" customHeight="1" x14ac:dyDescent="0.35">
      <c r="A53" s="1" t="s">
        <v>223</v>
      </c>
      <c r="B53" s="1" t="s">
        <v>224</v>
      </c>
      <c r="C53" s="1" t="s">
        <v>225</v>
      </c>
      <c r="D53" s="1" t="s">
        <v>226</v>
      </c>
      <c r="E53" s="1" t="s">
        <v>24</v>
      </c>
      <c r="F53" s="1" t="s">
        <v>34</v>
      </c>
      <c r="G53" s="2">
        <v>300</v>
      </c>
      <c r="H53" s="3">
        <v>45315</v>
      </c>
      <c r="I53" s="1" t="s">
        <v>19</v>
      </c>
      <c r="J53" s="7">
        <f>DATE(YEAR(Attendees[[#This Row],[Registration Date]]),MONTH(Attendees[[#This Row],[Registration Date]]),1)</f>
        <v>45292</v>
      </c>
    </row>
    <row r="54" spans="1:10" ht="22" customHeight="1" x14ac:dyDescent="0.35">
      <c r="A54" s="1" t="s">
        <v>227</v>
      </c>
      <c r="B54" s="1" t="s">
        <v>228</v>
      </c>
      <c r="C54" s="1" t="s">
        <v>229</v>
      </c>
      <c r="D54" s="1" t="s">
        <v>230</v>
      </c>
      <c r="E54" s="1" t="s">
        <v>17</v>
      </c>
      <c r="F54" s="1" t="s">
        <v>18</v>
      </c>
      <c r="G54" s="2">
        <v>450</v>
      </c>
      <c r="H54" s="3">
        <v>45322</v>
      </c>
      <c r="I54" s="1" t="s">
        <v>19</v>
      </c>
      <c r="J54" s="7">
        <f>DATE(YEAR(Attendees[[#This Row],[Registration Date]]),MONTH(Attendees[[#This Row],[Registration Date]]),1)</f>
        <v>45292</v>
      </c>
    </row>
    <row r="55" spans="1:10" ht="22" customHeight="1" x14ac:dyDescent="0.35">
      <c r="A55" s="1" t="s">
        <v>231</v>
      </c>
      <c r="B55" s="1" t="s">
        <v>232</v>
      </c>
      <c r="C55" s="1" t="s">
        <v>233</v>
      </c>
      <c r="D55" s="1" t="s">
        <v>234</v>
      </c>
      <c r="E55" s="1" t="s">
        <v>24</v>
      </c>
      <c r="F55" s="1" t="s">
        <v>29</v>
      </c>
      <c r="G55" s="2">
        <v>700</v>
      </c>
      <c r="H55" s="3">
        <v>45322</v>
      </c>
      <c r="I55" s="1" t="s">
        <v>19</v>
      </c>
      <c r="J55" s="7">
        <f>DATE(YEAR(Attendees[[#This Row],[Registration Date]]),MONTH(Attendees[[#This Row],[Registration Date]]),1)</f>
        <v>45292</v>
      </c>
    </row>
    <row r="56" spans="1:10" ht="22" customHeight="1" x14ac:dyDescent="0.35">
      <c r="A56" s="1" t="s">
        <v>235</v>
      </c>
      <c r="B56" s="1" t="s">
        <v>236</v>
      </c>
      <c r="C56" s="1" t="s">
        <v>237</v>
      </c>
      <c r="D56" s="1" t="s">
        <v>238</v>
      </c>
      <c r="E56" s="1" t="s">
        <v>17</v>
      </c>
      <c r="F56" s="1" t="s">
        <v>34</v>
      </c>
      <c r="G56" s="2">
        <v>300</v>
      </c>
      <c r="H56" s="3">
        <v>45330</v>
      </c>
      <c r="I56" s="1" t="s">
        <v>19</v>
      </c>
      <c r="J56" s="7">
        <f>DATE(YEAR(Attendees[[#This Row],[Registration Date]]),MONTH(Attendees[[#This Row],[Registration Date]]),1)</f>
        <v>45323</v>
      </c>
    </row>
    <row r="57" spans="1:10" ht="22" customHeight="1" x14ac:dyDescent="0.35">
      <c r="A57" s="1" t="s">
        <v>239</v>
      </c>
      <c r="B57" s="1" t="s">
        <v>240</v>
      </c>
      <c r="C57" s="1" t="s">
        <v>241</v>
      </c>
      <c r="D57" s="1" t="s">
        <v>242</v>
      </c>
      <c r="E57" s="1" t="s">
        <v>24</v>
      </c>
      <c r="F57" s="1" t="s">
        <v>18</v>
      </c>
      <c r="G57" s="2">
        <v>450</v>
      </c>
      <c r="H57" s="3">
        <v>45331</v>
      </c>
      <c r="I57" s="1" t="s">
        <v>19</v>
      </c>
      <c r="J57" s="7">
        <f>DATE(YEAR(Attendees[[#This Row],[Registration Date]]),MONTH(Attendees[[#This Row],[Registration Date]]),1)</f>
        <v>45323</v>
      </c>
    </row>
    <row r="58" spans="1:10" ht="22" customHeight="1" x14ac:dyDescent="0.35">
      <c r="A58" s="1" t="s">
        <v>243</v>
      </c>
      <c r="B58" s="1" t="s">
        <v>244</v>
      </c>
      <c r="C58" s="1" t="s">
        <v>245</v>
      </c>
      <c r="D58" s="1" t="s">
        <v>246</v>
      </c>
      <c r="E58" s="1" t="s">
        <v>17</v>
      </c>
      <c r="F58" s="1" t="s">
        <v>29</v>
      </c>
      <c r="G58" s="2">
        <v>700</v>
      </c>
      <c r="H58" s="3">
        <v>45333</v>
      </c>
      <c r="I58" s="1" t="s">
        <v>19</v>
      </c>
      <c r="J58" s="7">
        <f>DATE(YEAR(Attendees[[#This Row],[Registration Date]]),MONTH(Attendees[[#This Row],[Registration Date]]),1)</f>
        <v>45323</v>
      </c>
    </row>
    <row r="59" spans="1:10" ht="22" customHeight="1" x14ac:dyDescent="0.35">
      <c r="A59" s="1" t="s">
        <v>247</v>
      </c>
      <c r="B59" s="1" t="s">
        <v>248</v>
      </c>
      <c r="C59" s="1" t="s">
        <v>249</v>
      </c>
      <c r="D59" s="1" t="s">
        <v>250</v>
      </c>
      <c r="E59" s="1" t="s">
        <v>24</v>
      </c>
      <c r="F59" s="1" t="s">
        <v>34</v>
      </c>
      <c r="G59" s="2">
        <v>300</v>
      </c>
      <c r="H59" s="3">
        <v>45338</v>
      </c>
      <c r="I59" s="1" t="s">
        <v>19</v>
      </c>
      <c r="J59" s="7">
        <f>DATE(YEAR(Attendees[[#This Row],[Registration Date]]),MONTH(Attendees[[#This Row],[Registration Date]]),1)</f>
        <v>45323</v>
      </c>
    </row>
    <row r="60" spans="1:10" ht="22" customHeight="1" x14ac:dyDescent="0.35">
      <c r="A60" s="1" t="s">
        <v>251</v>
      </c>
      <c r="B60" s="1" t="s">
        <v>252</v>
      </c>
      <c r="C60" s="1" t="s">
        <v>253</v>
      </c>
      <c r="D60" s="1" t="s">
        <v>254</v>
      </c>
      <c r="E60" s="1" t="s">
        <v>17</v>
      </c>
      <c r="F60" s="1" t="s">
        <v>18</v>
      </c>
      <c r="G60" s="2">
        <v>450</v>
      </c>
      <c r="H60" s="3">
        <v>45343</v>
      </c>
      <c r="I60" s="1" t="s">
        <v>19</v>
      </c>
      <c r="J60" s="7">
        <f>DATE(YEAR(Attendees[[#This Row],[Registration Date]]),MONTH(Attendees[[#This Row],[Registration Date]]),1)</f>
        <v>45323</v>
      </c>
    </row>
    <row r="61" spans="1:10" ht="22" customHeight="1" x14ac:dyDescent="0.35">
      <c r="A61" s="1" t="s">
        <v>255</v>
      </c>
      <c r="B61" s="1" t="s">
        <v>256</v>
      </c>
      <c r="C61" s="1" t="s">
        <v>257</v>
      </c>
      <c r="D61" s="1" t="s">
        <v>258</v>
      </c>
      <c r="E61" s="1" t="s">
        <v>24</v>
      </c>
      <c r="F61" s="1" t="s">
        <v>29</v>
      </c>
      <c r="G61" s="2">
        <v>700</v>
      </c>
      <c r="H61" s="3">
        <v>45345</v>
      </c>
      <c r="I61" s="1" t="s">
        <v>19</v>
      </c>
      <c r="J61" s="7">
        <f>DATE(YEAR(Attendees[[#This Row],[Registration Date]]),MONTH(Attendees[[#This Row],[Registration Date]]),1)</f>
        <v>45323</v>
      </c>
    </row>
    <row r="62" spans="1:10" ht="22" customHeight="1" x14ac:dyDescent="0.35">
      <c r="A62" s="1" t="s">
        <v>259</v>
      </c>
      <c r="B62" s="1" t="s">
        <v>260</v>
      </c>
      <c r="C62" s="1" t="s">
        <v>261</v>
      </c>
      <c r="D62" s="1" t="s">
        <v>262</v>
      </c>
      <c r="E62" s="1" t="s">
        <v>17</v>
      </c>
      <c r="F62" s="1" t="s">
        <v>34</v>
      </c>
      <c r="G62" s="2">
        <v>300</v>
      </c>
      <c r="H62" s="3">
        <v>45349</v>
      </c>
      <c r="I62" s="1" t="s">
        <v>19</v>
      </c>
      <c r="J62" s="7">
        <f>DATE(YEAR(Attendees[[#This Row],[Registration Date]]),MONTH(Attendees[[#This Row],[Registration Date]]),1)</f>
        <v>45323</v>
      </c>
    </row>
    <row r="63" spans="1:10" ht="22" customHeight="1" x14ac:dyDescent="0.35">
      <c r="A63" s="1" t="s">
        <v>263</v>
      </c>
      <c r="B63" s="1" t="s">
        <v>264</v>
      </c>
      <c r="C63" s="1" t="s">
        <v>265</v>
      </c>
      <c r="D63" s="1" t="s">
        <v>266</v>
      </c>
      <c r="E63" s="1" t="s">
        <v>24</v>
      </c>
      <c r="F63" s="1" t="s">
        <v>18</v>
      </c>
      <c r="G63" s="2">
        <v>450</v>
      </c>
      <c r="H63" s="3">
        <v>45350</v>
      </c>
      <c r="I63" s="1" t="s">
        <v>19</v>
      </c>
      <c r="J63" s="7">
        <f>DATE(YEAR(Attendees[[#This Row],[Registration Date]]),MONTH(Attendees[[#This Row],[Registration Date]]),1)</f>
        <v>45323</v>
      </c>
    </row>
    <row r="64" spans="1:10" ht="22" customHeight="1" x14ac:dyDescent="0.35">
      <c r="A64" s="1" t="s">
        <v>267</v>
      </c>
      <c r="B64" s="1" t="s">
        <v>268</v>
      </c>
      <c r="C64" s="1" t="s">
        <v>269</v>
      </c>
      <c r="D64" s="1" t="s">
        <v>270</v>
      </c>
      <c r="E64" s="1" t="s">
        <v>17</v>
      </c>
      <c r="F64" s="1" t="s">
        <v>29</v>
      </c>
      <c r="G64" s="2">
        <v>700</v>
      </c>
      <c r="H64" s="3">
        <v>45350</v>
      </c>
      <c r="I64" s="1" t="s">
        <v>19</v>
      </c>
      <c r="J64" s="7">
        <f>DATE(YEAR(Attendees[[#This Row],[Registration Date]]),MONTH(Attendees[[#This Row],[Registration Date]]),1)</f>
        <v>45323</v>
      </c>
    </row>
    <row r="65" spans="1:10" ht="22" customHeight="1" x14ac:dyDescent="0.35">
      <c r="A65" s="1" t="s">
        <v>271</v>
      </c>
      <c r="B65" s="1" t="s">
        <v>272</v>
      </c>
      <c r="C65" s="1" t="s">
        <v>273</v>
      </c>
      <c r="D65" s="1" t="s">
        <v>274</v>
      </c>
      <c r="E65" s="1" t="s">
        <v>24</v>
      </c>
      <c r="F65" s="1" t="s">
        <v>34</v>
      </c>
      <c r="G65" s="2">
        <v>300</v>
      </c>
      <c r="H65" s="3">
        <v>45353</v>
      </c>
      <c r="I65" s="1" t="s">
        <v>19</v>
      </c>
      <c r="J65" s="7">
        <f>DATE(YEAR(Attendees[[#This Row],[Registration Date]]),MONTH(Attendees[[#This Row],[Registration Date]]),1)</f>
        <v>45352</v>
      </c>
    </row>
    <row r="66" spans="1:10" ht="22" customHeight="1" x14ac:dyDescent="0.35">
      <c r="A66" s="1" t="s">
        <v>275</v>
      </c>
      <c r="B66" s="1" t="s">
        <v>276</v>
      </c>
      <c r="C66" s="1" t="s">
        <v>277</v>
      </c>
      <c r="D66" s="1" t="s">
        <v>278</v>
      </c>
      <c r="E66" s="1" t="s">
        <v>17</v>
      </c>
      <c r="F66" s="1" t="s">
        <v>18</v>
      </c>
      <c r="G66" s="2">
        <v>450</v>
      </c>
      <c r="H66" s="3">
        <v>45353</v>
      </c>
      <c r="I66" s="1" t="s">
        <v>19</v>
      </c>
      <c r="J66" s="7">
        <f>DATE(YEAR(Attendees[[#This Row],[Registration Date]]),MONTH(Attendees[[#This Row],[Registration Date]]),1)</f>
        <v>45352</v>
      </c>
    </row>
    <row r="67" spans="1:10" ht="22" customHeight="1" x14ac:dyDescent="0.35">
      <c r="A67" s="1" t="s">
        <v>279</v>
      </c>
      <c r="B67" s="1" t="s">
        <v>280</v>
      </c>
      <c r="C67" s="1" t="s">
        <v>281</v>
      </c>
      <c r="D67" s="1" t="s">
        <v>282</v>
      </c>
      <c r="E67" s="1" t="s">
        <v>24</v>
      </c>
      <c r="F67" s="1" t="s">
        <v>29</v>
      </c>
      <c r="G67" s="2">
        <v>700</v>
      </c>
      <c r="H67" s="3">
        <v>45368</v>
      </c>
      <c r="I67" s="1" t="s">
        <v>19</v>
      </c>
      <c r="J67" s="7">
        <f>DATE(YEAR(Attendees[[#This Row],[Registration Date]]),MONTH(Attendees[[#This Row],[Registration Date]]),1)</f>
        <v>45352</v>
      </c>
    </row>
    <row r="68" spans="1:10" ht="22" customHeight="1" x14ac:dyDescent="0.35">
      <c r="A68" s="1" t="s">
        <v>283</v>
      </c>
      <c r="B68" s="1" t="s">
        <v>284</v>
      </c>
      <c r="C68" s="1" t="s">
        <v>285</v>
      </c>
      <c r="D68" s="1" t="s">
        <v>286</v>
      </c>
      <c r="E68" s="1" t="s">
        <v>17</v>
      </c>
      <c r="F68" s="1" t="s">
        <v>34</v>
      </c>
      <c r="G68" s="2">
        <v>300</v>
      </c>
      <c r="H68" s="3">
        <v>45373</v>
      </c>
      <c r="I68" s="1" t="s">
        <v>19</v>
      </c>
      <c r="J68" s="7">
        <f>DATE(YEAR(Attendees[[#This Row],[Registration Date]]),MONTH(Attendees[[#This Row],[Registration Date]]),1)</f>
        <v>45352</v>
      </c>
    </row>
    <row r="69" spans="1:10" ht="22" customHeight="1" x14ac:dyDescent="0.35">
      <c r="A69" s="1" t="s">
        <v>287</v>
      </c>
      <c r="B69" s="1" t="s">
        <v>288</v>
      </c>
      <c r="C69" s="1" t="s">
        <v>289</v>
      </c>
      <c r="D69" s="1" t="s">
        <v>290</v>
      </c>
      <c r="E69" s="1" t="s">
        <v>24</v>
      </c>
      <c r="F69" s="1" t="s">
        <v>18</v>
      </c>
      <c r="G69" s="2">
        <v>450</v>
      </c>
      <c r="H69" s="3">
        <v>45375</v>
      </c>
      <c r="I69" s="1" t="s">
        <v>19</v>
      </c>
      <c r="J69" s="7">
        <f>DATE(YEAR(Attendees[[#This Row],[Registration Date]]),MONTH(Attendees[[#This Row],[Registration Date]]),1)</f>
        <v>45352</v>
      </c>
    </row>
    <row r="70" spans="1:10" ht="22" customHeight="1" x14ac:dyDescent="0.35">
      <c r="A70" s="1" t="s">
        <v>291</v>
      </c>
      <c r="B70" s="1" t="s">
        <v>292</v>
      </c>
      <c r="C70" s="1" t="s">
        <v>293</v>
      </c>
      <c r="D70" s="1" t="s">
        <v>294</v>
      </c>
      <c r="E70" s="1" t="s">
        <v>17</v>
      </c>
      <c r="F70" s="1" t="s">
        <v>29</v>
      </c>
      <c r="G70" s="2">
        <v>700</v>
      </c>
      <c r="H70" s="3">
        <v>45391</v>
      </c>
      <c r="I70" s="1" t="s">
        <v>19</v>
      </c>
      <c r="J70" s="7">
        <f>DATE(YEAR(Attendees[[#This Row],[Registration Date]]),MONTH(Attendees[[#This Row],[Registration Date]]),1)</f>
        <v>45383</v>
      </c>
    </row>
    <row r="71" spans="1:10" ht="22" customHeight="1" x14ac:dyDescent="0.35">
      <c r="A71" s="1" t="s">
        <v>295</v>
      </c>
      <c r="B71" s="1" t="s">
        <v>296</v>
      </c>
      <c r="C71" s="1" t="s">
        <v>297</v>
      </c>
      <c r="D71" s="1" t="s">
        <v>298</v>
      </c>
      <c r="E71" s="1" t="s">
        <v>24</v>
      </c>
      <c r="F71" s="1" t="s">
        <v>34</v>
      </c>
      <c r="G71" s="2">
        <v>300</v>
      </c>
      <c r="H71" s="3">
        <v>45399</v>
      </c>
      <c r="I71" s="1" t="s">
        <v>19</v>
      </c>
      <c r="J71" s="7">
        <f>DATE(YEAR(Attendees[[#This Row],[Registration Date]]),MONTH(Attendees[[#This Row],[Registration Date]]),1)</f>
        <v>45383</v>
      </c>
    </row>
    <row r="72" spans="1:10" ht="22" customHeight="1" x14ac:dyDescent="0.35">
      <c r="A72" s="1" t="s">
        <v>299</v>
      </c>
      <c r="B72" s="1" t="s">
        <v>300</v>
      </c>
      <c r="C72" s="1" t="s">
        <v>301</v>
      </c>
      <c r="D72" s="1" t="s">
        <v>302</v>
      </c>
      <c r="E72" s="1" t="s">
        <v>17</v>
      </c>
      <c r="F72" s="1" t="s">
        <v>18</v>
      </c>
      <c r="G72" s="2">
        <v>450</v>
      </c>
      <c r="H72" s="3">
        <v>45410</v>
      </c>
      <c r="I72" s="1" t="s">
        <v>19</v>
      </c>
      <c r="J72" s="7">
        <f>DATE(YEAR(Attendees[[#This Row],[Registration Date]]),MONTH(Attendees[[#This Row],[Registration Date]]),1)</f>
        <v>45383</v>
      </c>
    </row>
    <row r="73" spans="1:10" ht="22" customHeight="1" x14ac:dyDescent="0.35">
      <c r="A73" s="1" t="s">
        <v>303</v>
      </c>
      <c r="B73" s="1" t="s">
        <v>304</v>
      </c>
      <c r="C73" s="1" t="s">
        <v>305</v>
      </c>
      <c r="D73" s="1" t="s">
        <v>306</v>
      </c>
      <c r="E73" s="1" t="s">
        <v>24</v>
      </c>
      <c r="F73" s="1" t="s">
        <v>29</v>
      </c>
      <c r="G73" s="2">
        <v>700</v>
      </c>
      <c r="H73" s="3">
        <v>45416</v>
      </c>
      <c r="I73" s="1" t="s">
        <v>19</v>
      </c>
      <c r="J73" s="7">
        <f>DATE(YEAR(Attendees[[#This Row],[Registration Date]]),MONTH(Attendees[[#This Row],[Registration Date]]),1)</f>
        <v>45413</v>
      </c>
    </row>
    <row r="74" spans="1:10" ht="22" customHeight="1" x14ac:dyDescent="0.35">
      <c r="A74" s="1" t="s">
        <v>307</v>
      </c>
      <c r="B74" s="1" t="s">
        <v>308</v>
      </c>
      <c r="C74" s="1" t="s">
        <v>309</v>
      </c>
      <c r="D74" s="1" t="s">
        <v>310</v>
      </c>
      <c r="E74" s="1" t="s">
        <v>17</v>
      </c>
      <c r="F74" s="1" t="s">
        <v>34</v>
      </c>
      <c r="G74" s="2">
        <v>300</v>
      </c>
      <c r="H74" s="3">
        <v>45425</v>
      </c>
      <c r="I74" s="1" t="s">
        <v>19</v>
      </c>
      <c r="J74" s="7">
        <f>DATE(YEAR(Attendees[[#This Row],[Registration Date]]),MONTH(Attendees[[#This Row],[Registration Date]]),1)</f>
        <v>45413</v>
      </c>
    </row>
    <row r="75" spans="1:10" ht="22" customHeight="1" x14ac:dyDescent="0.35">
      <c r="A75" s="1" t="s">
        <v>311</v>
      </c>
      <c r="B75" s="1" t="s">
        <v>312</v>
      </c>
      <c r="C75" s="1" t="s">
        <v>313</v>
      </c>
      <c r="D75" s="1" t="s">
        <v>314</v>
      </c>
      <c r="E75" s="1" t="s">
        <v>24</v>
      </c>
      <c r="F75" s="1" t="s">
        <v>18</v>
      </c>
      <c r="G75" s="2">
        <v>450</v>
      </c>
      <c r="H75" s="3">
        <v>45437</v>
      </c>
      <c r="I75" s="1" t="s">
        <v>19</v>
      </c>
      <c r="J75" s="7">
        <f>DATE(YEAR(Attendees[[#This Row],[Registration Date]]),MONTH(Attendees[[#This Row],[Registration Date]]),1)</f>
        <v>45413</v>
      </c>
    </row>
    <row r="76" spans="1:10" ht="22" customHeight="1" x14ac:dyDescent="0.35">
      <c r="A76" s="1" t="s">
        <v>315</v>
      </c>
      <c r="B76" s="1" t="s">
        <v>316</v>
      </c>
      <c r="C76" s="1" t="s">
        <v>317</v>
      </c>
      <c r="D76" s="1" t="s">
        <v>318</v>
      </c>
      <c r="E76" s="1" t="s">
        <v>17</v>
      </c>
      <c r="F76" s="1" t="s">
        <v>29</v>
      </c>
      <c r="G76" s="2">
        <v>700</v>
      </c>
      <c r="H76" s="3">
        <v>45456</v>
      </c>
      <c r="I76" s="1" t="s">
        <v>19</v>
      </c>
      <c r="J76" s="7">
        <f>DATE(YEAR(Attendees[[#This Row],[Registration Date]]),MONTH(Attendees[[#This Row],[Registration Date]]),1)</f>
        <v>45444</v>
      </c>
    </row>
    <row r="77" spans="1:10" ht="22" customHeight="1" x14ac:dyDescent="0.35">
      <c r="A77" s="1" t="s">
        <v>319</v>
      </c>
      <c r="B77" s="1" t="s">
        <v>320</v>
      </c>
      <c r="C77" s="1" t="s">
        <v>321</v>
      </c>
      <c r="D77" s="1" t="s">
        <v>322</v>
      </c>
      <c r="E77" s="1" t="s">
        <v>24</v>
      </c>
      <c r="F77" s="1" t="s">
        <v>34</v>
      </c>
      <c r="G77" s="2">
        <v>300</v>
      </c>
      <c r="H77" s="3">
        <v>45459</v>
      </c>
      <c r="I77" s="1" t="s">
        <v>19</v>
      </c>
      <c r="J77" s="7">
        <f>DATE(YEAR(Attendees[[#This Row],[Registration Date]]),MONTH(Attendees[[#This Row],[Registration Date]]),1)</f>
        <v>45444</v>
      </c>
    </row>
    <row r="78" spans="1:10" ht="22" customHeight="1" x14ac:dyDescent="0.35">
      <c r="A78" s="1" t="s">
        <v>323</v>
      </c>
      <c r="B78" s="1" t="s">
        <v>324</v>
      </c>
      <c r="C78" s="1" t="s">
        <v>325</v>
      </c>
      <c r="D78" s="1" t="s">
        <v>326</v>
      </c>
      <c r="E78" s="1" t="s">
        <v>17</v>
      </c>
      <c r="F78" s="1" t="s">
        <v>18</v>
      </c>
      <c r="G78" s="2">
        <v>450</v>
      </c>
      <c r="H78" s="3">
        <v>45461</v>
      </c>
      <c r="I78" s="1" t="s">
        <v>19</v>
      </c>
      <c r="J78" s="7">
        <f>DATE(YEAR(Attendees[[#This Row],[Registration Date]]),MONTH(Attendees[[#This Row],[Registration Date]]),1)</f>
        <v>45444</v>
      </c>
    </row>
    <row r="79" spans="1:10" ht="22" customHeight="1" x14ac:dyDescent="0.35">
      <c r="A79" s="1" t="s">
        <v>327</v>
      </c>
      <c r="B79" s="1" t="s">
        <v>328</v>
      </c>
      <c r="C79" s="1" t="s">
        <v>329</v>
      </c>
      <c r="D79" s="1" t="s">
        <v>330</v>
      </c>
      <c r="E79" s="1" t="s">
        <v>24</v>
      </c>
      <c r="F79" s="1" t="s">
        <v>29</v>
      </c>
      <c r="G79" s="2">
        <v>700</v>
      </c>
      <c r="H79" s="3">
        <v>45466</v>
      </c>
      <c r="I79" s="1" t="s">
        <v>19</v>
      </c>
      <c r="J79" s="7">
        <f>DATE(YEAR(Attendees[[#This Row],[Registration Date]]),MONTH(Attendees[[#This Row],[Registration Date]]),1)</f>
        <v>45444</v>
      </c>
    </row>
    <row r="80" spans="1:10" ht="22" customHeight="1" x14ac:dyDescent="0.35">
      <c r="A80" s="1" t="s">
        <v>331</v>
      </c>
      <c r="B80" s="1" t="s">
        <v>332</v>
      </c>
      <c r="C80" s="1" t="s">
        <v>333</v>
      </c>
      <c r="D80" s="1" t="s">
        <v>334</v>
      </c>
      <c r="E80" s="1" t="s">
        <v>17</v>
      </c>
      <c r="F80" s="1" t="s">
        <v>34</v>
      </c>
      <c r="G80" s="2">
        <v>300</v>
      </c>
      <c r="H80" s="3">
        <v>45470</v>
      </c>
      <c r="I80" s="1" t="s">
        <v>19</v>
      </c>
      <c r="J80" s="7">
        <f>DATE(YEAR(Attendees[[#This Row],[Registration Date]]),MONTH(Attendees[[#This Row],[Registration Date]]),1)</f>
        <v>45444</v>
      </c>
    </row>
    <row r="81" spans="1:10" ht="22" customHeight="1" x14ac:dyDescent="0.35">
      <c r="A81" s="1" t="s">
        <v>335</v>
      </c>
      <c r="B81" s="1" t="s">
        <v>336</v>
      </c>
      <c r="C81" s="1" t="s">
        <v>337</v>
      </c>
      <c r="D81" s="1" t="s">
        <v>338</v>
      </c>
      <c r="E81" s="1" t="s">
        <v>24</v>
      </c>
      <c r="F81" s="1" t="s">
        <v>18</v>
      </c>
      <c r="G81" s="2">
        <v>450</v>
      </c>
      <c r="H81" s="3">
        <v>45471</v>
      </c>
      <c r="I81" s="1" t="s">
        <v>19</v>
      </c>
      <c r="J81" s="7">
        <f>DATE(YEAR(Attendees[[#This Row],[Registration Date]]),MONTH(Attendees[[#This Row],[Registration Date]]),1)</f>
        <v>45444</v>
      </c>
    </row>
    <row r="82" spans="1:10" ht="22" customHeight="1" x14ac:dyDescent="0.35">
      <c r="A82" s="1" t="s">
        <v>339</v>
      </c>
      <c r="B82" s="1" t="s">
        <v>340</v>
      </c>
      <c r="C82" s="1" t="s">
        <v>341</v>
      </c>
      <c r="D82" s="1" t="s">
        <v>342</v>
      </c>
      <c r="E82" s="1" t="s">
        <v>17</v>
      </c>
      <c r="F82" s="1" t="s">
        <v>29</v>
      </c>
      <c r="G82" s="2">
        <v>700</v>
      </c>
      <c r="H82" s="3">
        <v>45474</v>
      </c>
      <c r="I82" s="1" t="s">
        <v>19</v>
      </c>
      <c r="J82" s="7">
        <f>DATE(YEAR(Attendees[[#This Row],[Registration Date]]),MONTH(Attendees[[#This Row],[Registration Date]]),1)</f>
        <v>45474</v>
      </c>
    </row>
    <row r="83" spans="1:10" ht="22" customHeight="1" x14ac:dyDescent="0.35">
      <c r="A83" s="1" t="s">
        <v>343</v>
      </c>
      <c r="B83" s="1" t="s">
        <v>344</v>
      </c>
      <c r="C83" s="1" t="s">
        <v>345</v>
      </c>
      <c r="D83" s="1" t="s">
        <v>346</v>
      </c>
      <c r="E83" s="1" t="s">
        <v>24</v>
      </c>
      <c r="F83" s="1" t="s">
        <v>34</v>
      </c>
      <c r="G83" s="2">
        <v>300</v>
      </c>
      <c r="H83" s="3">
        <v>45476</v>
      </c>
      <c r="I83" s="1" t="s">
        <v>19</v>
      </c>
      <c r="J83" s="7">
        <f>DATE(YEAR(Attendees[[#This Row],[Registration Date]]),MONTH(Attendees[[#This Row],[Registration Date]]),1)</f>
        <v>45474</v>
      </c>
    </row>
    <row r="84" spans="1:10" ht="22" customHeight="1" x14ac:dyDescent="0.35">
      <c r="A84" s="1" t="s">
        <v>347</v>
      </c>
      <c r="B84" s="1" t="s">
        <v>348</v>
      </c>
      <c r="C84" s="1" t="s">
        <v>349</v>
      </c>
      <c r="D84" s="1" t="s">
        <v>350</v>
      </c>
      <c r="E84" s="1" t="s">
        <v>17</v>
      </c>
      <c r="F84" s="1" t="s">
        <v>18</v>
      </c>
      <c r="G84" s="2">
        <v>450</v>
      </c>
      <c r="H84" s="3">
        <v>45484</v>
      </c>
      <c r="I84" s="1" t="s">
        <v>19</v>
      </c>
      <c r="J84" s="7">
        <f>DATE(YEAR(Attendees[[#This Row],[Registration Date]]),MONTH(Attendees[[#This Row],[Registration Date]]),1)</f>
        <v>45474</v>
      </c>
    </row>
    <row r="85" spans="1:10" ht="22" customHeight="1" x14ac:dyDescent="0.35">
      <c r="A85" s="1" t="s">
        <v>351</v>
      </c>
      <c r="B85" s="1" t="s">
        <v>352</v>
      </c>
      <c r="C85" s="1" t="s">
        <v>353</v>
      </c>
      <c r="D85" s="1" t="s">
        <v>354</v>
      </c>
      <c r="E85" s="1" t="s">
        <v>24</v>
      </c>
      <c r="F85" s="1" t="s">
        <v>29</v>
      </c>
      <c r="G85" s="2">
        <v>700</v>
      </c>
      <c r="H85" s="3">
        <v>45506</v>
      </c>
      <c r="I85" s="1" t="s">
        <v>19</v>
      </c>
      <c r="J85" s="7">
        <f>DATE(YEAR(Attendees[[#This Row],[Registration Date]]),MONTH(Attendees[[#This Row],[Registration Date]]),1)</f>
        <v>45505</v>
      </c>
    </row>
    <row r="86" spans="1:10" ht="22" customHeight="1" x14ac:dyDescent="0.35">
      <c r="A86" s="1" t="s">
        <v>355</v>
      </c>
      <c r="B86" s="1" t="s">
        <v>356</v>
      </c>
      <c r="C86" s="1" t="s">
        <v>357</v>
      </c>
      <c r="D86" s="1" t="s">
        <v>358</v>
      </c>
      <c r="E86" s="1" t="s">
        <v>17</v>
      </c>
      <c r="F86" s="1" t="s">
        <v>34</v>
      </c>
      <c r="G86" s="2">
        <v>300</v>
      </c>
      <c r="H86" s="3">
        <v>45513</v>
      </c>
      <c r="I86" s="1" t="s">
        <v>19</v>
      </c>
      <c r="J86" s="7">
        <f>DATE(YEAR(Attendees[[#This Row],[Registration Date]]),MONTH(Attendees[[#This Row],[Registration Date]]),1)</f>
        <v>45505</v>
      </c>
    </row>
    <row r="87" spans="1:10" ht="22" customHeight="1" x14ac:dyDescent="0.35">
      <c r="A87" s="1" t="s">
        <v>359</v>
      </c>
      <c r="B87" s="1" t="s">
        <v>360</v>
      </c>
      <c r="C87" s="1" t="s">
        <v>361</v>
      </c>
      <c r="D87" s="1" t="s">
        <v>362</v>
      </c>
      <c r="E87" s="1" t="s">
        <v>24</v>
      </c>
      <c r="F87" s="1" t="s">
        <v>18</v>
      </c>
      <c r="G87" s="2">
        <v>450</v>
      </c>
      <c r="H87" s="3">
        <v>45518</v>
      </c>
      <c r="I87" s="1" t="s">
        <v>19</v>
      </c>
      <c r="J87" s="7">
        <f>DATE(YEAR(Attendees[[#This Row],[Registration Date]]),MONTH(Attendees[[#This Row],[Registration Date]]),1)</f>
        <v>45505</v>
      </c>
    </row>
    <row r="88" spans="1:10" ht="22" customHeight="1" x14ac:dyDescent="0.35">
      <c r="A88" s="1" t="s">
        <v>363</v>
      </c>
      <c r="B88" s="1" t="s">
        <v>364</v>
      </c>
      <c r="C88" s="1" t="s">
        <v>365</v>
      </c>
      <c r="D88" s="1" t="s">
        <v>366</v>
      </c>
      <c r="E88" s="1" t="s">
        <v>17</v>
      </c>
      <c r="F88" s="1" t="s">
        <v>29</v>
      </c>
      <c r="G88" s="2">
        <v>700</v>
      </c>
      <c r="H88" s="3">
        <v>45526</v>
      </c>
      <c r="I88" s="1" t="s">
        <v>19</v>
      </c>
      <c r="J88" s="7">
        <f>DATE(YEAR(Attendees[[#This Row],[Registration Date]]),MONTH(Attendees[[#This Row],[Registration Date]]),1)</f>
        <v>45505</v>
      </c>
    </row>
    <row r="89" spans="1:10" ht="22" customHeight="1" x14ac:dyDescent="0.35">
      <c r="A89" s="1" t="s">
        <v>367</v>
      </c>
      <c r="B89" s="1" t="s">
        <v>368</v>
      </c>
      <c r="C89" s="1" t="s">
        <v>369</v>
      </c>
      <c r="D89" s="1" t="s">
        <v>370</v>
      </c>
      <c r="E89" s="1" t="s">
        <v>24</v>
      </c>
      <c r="F89" s="1" t="s">
        <v>34</v>
      </c>
      <c r="G89" s="2">
        <v>300</v>
      </c>
      <c r="H89" s="3">
        <v>45530</v>
      </c>
      <c r="I89" s="1" t="s">
        <v>19</v>
      </c>
      <c r="J89" s="7">
        <f>DATE(YEAR(Attendees[[#This Row],[Registration Date]]),MONTH(Attendees[[#This Row],[Registration Date]]),1)</f>
        <v>45505</v>
      </c>
    </row>
    <row r="90" spans="1:10" ht="22" customHeight="1" x14ac:dyDescent="0.35">
      <c r="A90" s="1" t="s">
        <v>371</v>
      </c>
      <c r="B90" s="1" t="s">
        <v>372</v>
      </c>
      <c r="C90" s="1" t="s">
        <v>373</v>
      </c>
      <c r="D90" s="1" t="s">
        <v>374</v>
      </c>
      <c r="E90" s="1" t="s">
        <v>17</v>
      </c>
      <c r="F90" s="1" t="s">
        <v>18</v>
      </c>
      <c r="G90" s="2">
        <v>450</v>
      </c>
      <c r="H90" s="3">
        <v>45533</v>
      </c>
      <c r="I90" s="1" t="s">
        <v>19</v>
      </c>
      <c r="J90" s="7">
        <f>DATE(YEAR(Attendees[[#This Row],[Registration Date]]),MONTH(Attendees[[#This Row],[Registration Date]]),1)</f>
        <v>45505</v>
      </c>
    </row>
    <row r="91" spans="1:10" ht="22" customHeight="1" x14ac:dyDescent="0.35">
      <c r="A91" s="1" t="s">
        <v>375</v>
      </c>
      <c r="B91" s="1" t="s">
        <v>376</v>
      </c>
      <c r="C91" s="1" t="s">
        <v>377</v>
      </c>
      <c r="D91" s="1" t="s">
        <v>378</v>
      </c>
      <c r="E91" s="1" t="s">
        <v>24</v>
      </c>
      <c r="F91" s="1" t="s">
        <v>29</v>
      </c>
      <c r="G91" s="2">
        <v>700</v>
      </c>
      <c r="H91" s="3">
        <v>45534</v>
      </c>
      <c r="I91" s="1" t="s">
        <v>19</v>
      </c>
      <c r="J91" s="7">
        <f>DATE(YEAR(Attendees[[#This Row],[Registration Date]]),MONTH(Attendees[[#This Row],[Registration Date]]),1)</f>
        <v>45505</v>
      </c>
    </row>
    <row r="92" spans="1:10" ht="22" customHeight="1" x14ac:dyDescent="0.35">
      <c r="A92" s="1" t="s">
        <v>379</v>
      </c>
      <c r="B92" s="1" t="s">
        <v>380</v>
      </c>
      <c r="C92" s="1" t="s">
        <v>381</v>
      </c>
      <c r="D92" s="1" t="s">
        <v>382</v>
      </c>
      <c r="E92" s="1" t="s">
        <v>17</v>
      </c>
      <c r="F92" s="1" t="s">
        <v>34</v>
      </c>
      <c r="G92" s="2">
        <v>300</v>
      </c>
      <c r="H92" s="3">
        <v>45560</v>
      </c>
      <c r="I92" s="1" t="s">
        <v>19</v>
      </c>
      <c r="J92" s="7">
        <f>DATE(YEAR(Attendees[[#This Row],[Registration Date]]),MONTH(Attendees[[#This Row],[Registration Date]]),1)</f>
        <v>45536</v>
      </c>
    </row>
    <row r="93" spans="1:10" ht="22" customHeight="1" x14ac:dyDescent="0.35">
      <c r="A93" s="1" t="s">
        <v>383</v>
      </c>
      <c r="B93" s="1" t="s">
        <v>384</v>
      </c>
      <c r="C93" s="1" t="s">
        <v>385</v>
      </c>
      <c r="D93" s="1" t="s">
        <v>386</v>
      </c>
      <c r="E93" s="1" t="s">
        <v>24</v>
      </c>
      <c r="F93" s="1" t="s">
        <v>18</v>
      </c>
      <c r="G93" s="2">
        <v>450</v>
      </c>
      <c r="H93" s="3">
        <v>45562</v>
      </c>
      <c r="I93" s="1" t="s">
        <v>19</v>
      </c>
      <c r="J93" s="7">
        <f>DATE(YEAR(Attendees[[#This Row],[Registration Date]]),MONTH(Attendees[[#This Row],[Registration Date]]),1)</f>
        <v>45536</v>
      </c>
    </row>
    <row r="94" spans="1:10" ht="22" customHeight="1" x14ac:dyDescent="0.35">
      <c r="A94" s="1" t="s">
        <v>387</v>
      </c>
      <c r="B94" s="1" t="s">
        <v>388</v>
      </c>
      <c r="C94" s="1" t="s">
        <v>389</v>
      </c>
      <c r="D94" s="1" t="s">
        <v>390</v>
      </c>
      <c r="E94" s="1" t="s">
        <v>17</v>
      </c>
      <c r="F94" s="1" t="s">
        <v>29</v>
      </c>
      <c r="G94" s="2">
        <v>700</v>
      </c>
      <c r="H94" s="3">
        <v>45566</v>
      </c>
      <c r="I94" s="1" t="s">
        <v>19</v>
      </c>
      <c r="J94" s="7">
        <f>DATE(YEAR(Attendees[[#This Row],[Registration Date]]),MONTH(Attendees[[#This Row],[Registration Date]]),1)</f>
        <v>45566</v>
      </c>
    </row>
    <row r="95" spans="1:10" ht="22" customHeight="1" x14ac:dyDescent="0.35">
      <c r="A95" s="1" t="s">
        <v>391</v>
      </c>
      <c r="B95" s="1" t="s">
        <v>392</v>
      </c>
      <c r="C95" s="1" t="s">
        <v>393</v>
      </c>
      <c r="D95" s="1" t="s">
        <v>394</v>
      </c>
      <c r="E95" s="1" t="s">
        <v>24</v>
      </c>
      <c r="F95" s="1" t="s">
        <v>34</v>
      </c>
      <c r="G95" s="2">
        <v>300</v>
      </c>
      <c r="H95" s="3">
        <v>45571</v>
      </c>
      <c r="I95" s="1" t="s">
        <v>19</v>
      </c>
      <c r="J95" s="7">
        <f>DATE(YEAR(Attendees[[#This Row],[Registration Date]]),MONTH(Attendees[[#This Row],[Registration Date]]),1)</f>
        <v>45566</v>
      </c>
    </row>
    <row r="96" spans="1:10" ht="22" customHeight="1" x14ac:dyDescent="0.35">
      <c r="A96" s="1" t="s">
        <v>395</v>
      </c>
      <c r="B96" s="1" t="s">
        <v>396</v>
      </c>
      <c r="C96" s="1" t="s">
        <v>397</v>
      </c>
      <c r="D96" s="1" t="s">
        <v>398</v>
      </c>
      <c r="E96" s="1" t="s">
        <v>17</v>
      </c>
      <c r="F96" s="1" t="s">
        <v>18</v>
      </c>
      <c r="G96" s="2">
        <v>450</v>
      </c>
      <c r="H96" s="3">
        <v>45581</v>
      </c>
      <c r="I96" s="1" t="s">
        <v>19</v>
      </c>
      <c r="J96" s="7">
        <f>DATE(YEAR(Attendees[[#This Row],[Registration Date]]),MONTH(Attendees[[#This Row],[Registration Date]]),1)</f>
        <v>45566</v>
      </c>
    </row>
    <row r="97" spans="1:10" ht="22" customHeight="1" x14ac:dyDescent="0.35">
      <c r="A97" s="1" t="s">
        <v>399</v>
      </c>
      <c r="B97" s="1" t="s">
        <v>400</v>
      </c>
      <c r="C97" s="1" t="s">
        <v>401</v>
      </c>
      <c r="D97" s="1" t="s">
        <v>402</v>
      </c>
      <c r="E97" s="1" t="s">
        <v>24</v>
      </c>
      <c r="F97" s="1" t="s">
        <v>29</v>
      </c>
      <c r="G97" s="2">
        <v>700</v>
      </c>
      <c r="H97" s="3">
        <v>45588</v>
      </c>
      <c r="I97" s="1" t="s">
        <v>19</v>
      </c>
      <c r="J97" s="7">
        <f>DATE(YEAR(Attendees[[#This Row],[Registration Date]]),MONTH(Attendees[[#This Row],[Registration Date]]),1)</f>
        <v>45566</v>
      </c>
    </row>
    <row r="98" spans="1:10" ht="22" customHeight="1" x14ac:dyDescent="0.35">
      <c r="A98" s="1" t="s">
        <v>403</v>
      </c>
      <c r="B98" s="1" t="s">
        <v>404</v>
      </c>
      <c r="C98" s="1" t="s">
        <v>405</v>
      </c>
      <c r="D98" s="1" t="s">
        <v>406</v>
      </c>
      <c r="E98" s="1" t="s">
        <v>17</v>
      </c>
      <c r="F98" s="1" t="s">
        <v>34</v>
      </c>
      <c r="G98" s="2">
        <v>300</v>
      </c>
      <c r="H98" s="3">
        <v>45590</v>
      </c>
      <c r="I98" s="1" t="s">
        <v>19</v>
      </c>
      <c r="J98" s="7">
        <f>DATE(YEAR(Attendees[[#This Row],[Registration Date]]),MONTH(Attendees[[#This Row],[Registration Date]]),1)</f>
        <v>45566</v>
      </c>
    </row>
    <row r="99" spans="1:10" ht="22" customHeight="1" x14ac:dyDescent="0.35">
      <c r="A99" s="1" t="s">
        <v>407</v>
      </c>
      <c r="B99" s="1" t="s">
        <v>408</v>
      </c>
      <c r="C99" s="1" t="s">
        <v>409</v>
      </c>
      <c r="D99" s="1" t="s">
        <v>410</v>
      </c>
      <c r="E99" s="1" t="s">
        <v>24</v>
      </c>
      <c r="F99" s="1" t="s">
        <v>18</v>
      </c>
      <c r="G99" s="2">
        <v>450</v>
      </c>
      <c r="H99" s="3">
        <v>45593</v>
      </c>
      <c r="I99" s="1" t="s">
        <v>19</v>
      </c>
      <c r="J99" s="7">
        <f>DATE(YEAR(Attendees[[#This Row],[Registration Date]]),MONTH(Attendees[[#This Row],[Registration Date]]),1)</f>
        <v>45566</v>
      </c>
    </row>
    <row r="100" spans="1:10" ht="22" customHeight="1" x14ac:dyDescent="0.35">
      <c r="A100" s="1" t="s">
        <v>411</v>
      </c>
      <c r="B100" s="1" t="s">
        <v>412</v>
      </c>
      <c r="C100" s="1" t="s">
        <v>413</v>
      </c>
      <c r="D100" s="1" t="s">
        <v>414</v>
      </c>
      <c r="E100" s="1" t="s">
        <v>17</v>
      </c>
      <c r="F100" s="1" t="s">
        <v>29</v>
      </c>
      <c r="G100" s="2">
        <v>700</v>
      </c>
      <c r="H100" s="3">
        <v>45598</v>
      </c>
      <c r="I100" s="1" t="s">
        <v>19</v>
      </c>
      <c r="J100" s="7">
        <f>DATE(YEAR(Attendees[[#This Row],[Registration Date]]),MONTH(Attendees[[#This Row],[Registration Date]]),1)</f>
        <v>45597</v>
      </c>
    </row>
    <row r="101" spans="1:10" ht="22" customHeight="1" x14ac:dyDescent="0.35">
      <c r="A101" s="1" t="s">
        <v>415</v>
      </c>
      <c r="B101" s="1" t="s">
        <v>416</v>
      </c>
      <c r="C101" s="1" t="s">
        <v>417</v>
      </c>
      <c r="D101" s="1" t="s">
        <v>418</v>
      </c>
      <c r="E101" s="1" t="s">
        <v>24</v>
      </c>
      <c r="F101" s="1" t="s">
        <v>34</v>
      </c>
      <c r="G101" s="2">
        <v>300</v>
      </c>
      <c r="H101" s="3">
        <v>45605</v>
      </c>
      <c r="I101" s="1" t="s">
        <v>19</v>
      </c>
      <c r="J101" s="7">
        <f>DATE(YEAR(Attendees[[#This Row],[Registration Date]]),MONTH(Attendees[[#This Row],[Registration Date]]),1)</f>
        <v>45597</v>
      </c>
    </row>
    <row r="102" spans="1:10" ht="14.25" customHeight="1" x14ac:dyDescent="0.35"/>
    <row r="103" spans="1:10" ht="14.25" customHeight="1" x14ac:dyDescent="0.35"/>
    <row r="104" spans="1:10" ht="14.25" customHeight="1" x14ac:dyDescent="0.35"/>
    <row r="105" spans="1:10" ht="14.25" customHeight="1" x14ac:dyDescent="0.35"/>
    <row r="106" spans="1:10" ht="14.25" customHeight="1" x14ac:dyDescent="0.35"/>
    <row r="107" spans="1:10" ht="14.25" customHeight="1" x14ac:dyDescent="0.35"/>
    <row r="108" spans="1:10" ht="14.25" customHeight="1" x14ac:dyDescent="0.35"/>
    <row r="109" spans="1:10" ht="14.25" customHeight="1" x14ac:dyDescent="0.35"/>
    <row r="110" spans="1:10" ht="14.25" customHeight="1" x14ac:dyDescent="0.35"/>
    <row r="111" spans="1:10" ht="14.25" customHeight="1" x14ac:dyDescent="0.35"/>
    <row r="112" spans="1:10"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3">
    <dataValidation type="list" sqref="E2:E101" xr:uid="{00000000-0002-0000-0000-000000000000}">
      <formula1>"Online,In-Person"</formula1>
    </dataValidation>
    <dataValidation type="list" sqref="F2:F101" xr:uid="{00000000-0002-0000-0000-000001000000}">
      <formula1>"Data Analytics,Artificial Intelligence,Cybersecurity"</formula1>
    </dataValidation>
    <dataValidation type="list" sqref="I2:I101" xr:uid="{00000000-0002-0000-0000-000002000000}">
      <formula1>"Not provided,No preference,Vegetarian,Vegan,Gluten-free,Other"</formula1>
    </dataValidation>
  </dataValidations>
  <pageMargins left="0.7" right="0.7" top="0.75" bottom="0.75" header="0.3" footer="0.3"/>
  <pageSetup fitToHeight="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1"/>
  <sheetViews>
    <sheetView showGridLines="0" zoomScale="85" zoomScaleNormal="85" workbookViewId="0">
      <pane ySplit="1" topLeftCell="A2" activePane="bottomLeft" state="frozen"/>
      <selection pane="bottomLeft"/>
    </sheetView>
  </sheetViews>
  <sheetFormatPr defaultRowHeight="14.5" x14ac:dyDescent="0.35"/>
  <cols>
    <col min="1" max="2" width="23" customWidth="1"/>
    <col min="3" max="3" width="34" customWidth="1"/>
    <col min="4" max="5" width="23" customWidth="1"/>
    <col min="6" max="6" width="30" customWidth="1"/>
    <col min="7" max="8" width="23" customWidth="1"/>
  </cols>
  <sheetData>
    <row r="1" spans="1:8" ht="22" customHeight="1" x14ac:dyDescent="0.35">
      <c r="A1" s="1"/>
      <c r="B1" s="1" t="s">
        <v>4</v>
      </c>
      <c r="C1" s="1" t="s">
        <v>5</v>
      </c>
      <c r="D1" s="1" t="s">
        <v>6</v>
      </c>
      <c r="E1" s="1" t="s">
        <v>7</v>
      </c>
      <c r="F1" s="1" t="s">
        <v>8</v>
      </c>
      <c r="G1" s="1" t="s">
        <v>9</v>
      </c>
      <c r="H1" s="1" t="s">
        <v>10</v>
      </c>
    </row>
    <row r="2" spans="1:8" ht="22" customHeight="1" x14ac:dyDescent="0.35">
      <c r="A2" s="1" t="s">
        <v>13</v>
      </c>
      <c r="B2" s="1" t="s">
        <v>14</v>
      </c>
      <c r="C2" s="1" t="s">
        <v>15</v>
      </c>
      <c r="D2" s="1" t="s">
        <v>16</v>
      </c>
      <c r="E2" s="1" t="s">
        <v>17</v>
      </c>
      <c r="F2" s="1" t="s">
        <v>18</v>
      </c>
      <c r="G2" s="2">
        <v>450</v>
      </c>
      <c r="H2" s="3">
        <v>44878</v>
      </c>
    </row>
    <row r="3" spans="1:8" ht="22" customHeight="1" x14ac:dyDescent="0.35">
      <c r="A3" s="1" t="s">
        <v>20</v>
      </c>
      <c r="B3" s="1" t="s">
        <v>21</v>
      </c>
      <c r="C3" s="1" t="s">
        <v>22</v>
      </c>
      <c r="D3" s="1" t="s">
        <v>23</v>
      </c>
      <c r="E3" s="1" t="s">
        <v>24</v>
      </c>
      <c r="F3" s="1" t="s">
        <v>18</v>
      </c>
      <c r="G3" s="2">
        <v>450</v>
      </c>
      <c r="H3" s="3">
        <v>44909</v>
      </c>
    </row>
    <row r="4" spans="1:8" ht="22" customHeight="1" x14ac:dyDescent="0.35">
      <c r="A4" s="1" t="s">
        <v>25</v>
      </c>
      <c r="B4" s="1" t="s">
        <v>26</v>
      </c>
      <c r="C4" s="1" t="s">
        <v>27</v>
      </c>
      <c r="D4" s="1" t="s">
        <v>28</v>
      </c>
      <c r="E4" s="1" t="s">
        <v>17</v>
      </c>
      <c r="F4" s="1" t="s">
        <v>29</v>
      </c>
      <c r="G4" s="2">
        <v>700</v>
      </c>
      <c r="H4" s="3">
        <v>44915</v>
      </c>
    </row>
    <row r="5" spans="1:8" ht="22" customHeight="1" x14ac:dyDescent="0.35">
      <c r="A5" s="1" t="s">
        <v>30</v>
      </c>
      <c r="B5" s="1" t="s">
        <v>31</v>
      </c>
      <c r="C5" s="1" t="s">
        <v>32</v>
      </c>
      <c r="D5" s="1" t="s">
        <v>33</v>
      </c>
      <c r="E5" s="1" t="s">
        <v>24</v>
      </c>
      <c r="F5" s="1" t="s">
        <v>34</v>
      </c>
      <c r="G5" s="2">
        <v>300</v>
      </c>
      <c r="H5" s="3">
        <v>44921</v>
      </c>
    </row>
    <row r="6" spans="1:8" ht="22" customHeight="1" x14ac:dyDescent="0.35">
      <c r="A6" s="1" t="s">
        <v>35</v>
      </c>
      <c r="B6" s="1" t="s">
        <v>36</v>
      </c>
      <c r="C6" s="1" t="s">
        <v>37</v>
      </c>
      <c r="D6" s="1" t="s">
        <v>38</v>
      </c>
      <c r="E6" s="1" t="s">
        <v>17</v>
      </c>
      <c r="F6" s="1" t="s">
        <v>18</v>
      </c>
      <c r="G6" s="2">
        <v>450</v>
      </c>
      <c r="H6" s="3">
        <v>44926</v>
      </c>
    </row>
    <row r="7" spans="1:8" ht="22" customHeight="1" x14ac:dyDescent="0.35">
      <c r="A7" s="1" t="s">
        <v>39</v>
      </c>
      <c r="B7" s="1" t="s">
        <v>40</v>
      </c>
      <c r="C7" s="1" t="s">
        <v>41</v>
      </c>
      <c r="D7" s="1" t="s">
        <v>42</v>
      </c>
      <c r="E7" s="1" t="s">
        <v>24</v>
      </c>
      <c r="F7" s="1" t="s">
        <v>29</v>
      </c>
      <c r="G7" s="2">
        <v>700</v>
      </c>
      <c r="H7" s="3">
        <v>44937</v>
      </c>
    </row>
    <row r="8" spans="1:8" ht="22" customHeight="1" x14ac:dyDescent="0.35">
      <c r="A8" s="1" t="s">
        <v>43</v>
      </c>
      <c r="B8" s="1" t="s">
        <v>44</v>
      </c>
      <c r="C8" s="1" t="s">
        <v>45</v>
      </c>
      <c r="D8" s="1" t="s">
        <v>46</v>
      </c>
      <c r="E8" s="1" t="s">
        <v>17</v>
      </c>
      <c r="F8" s="1" t="s">
        <v>34</v>
      </c>
      <c r="G8" s="2">
        <v>300</v>
      </c>
      <c r="H8" s="3">
        <v>44941</v>
      </c>
    </row>
    <row r="9" spans="1:8" ht="22" customHeight="1" x14ac:dyDescent="0.35">
      <c r="A9" s="1" t="s">
        <v>47</v>
      </c>
      <c r="B9" s="1" t="s">
        <v>48</v>
      </c>
      <c r="C9" s="1" t="s">
        <v>49</v>
      </c>
      <c r="D9" s="1" t="s">
        <v>50</v>
      </c>
      <c r="E9" s="1" t="s">
        <v>24</v>
      </c>
      <c r="F9" s="1" t="s">
        <v>18</v>
      </c>
      <c r="G9" s="2">
        <v>450</v>
      </c>
      <c r="H9" s="3">
        <v>44943</v>
      </c>
    </row>
    <row r="10" spans="1:8" ht="22" customHeight="1" x14ac:dyDescent="0.35">
      <c r="A10" s="1" t="s">
        <v>51</v>
      </c>
      <c r="B10" s="1" t="s">
        <v>52</v>
      </c>
      <c r="C10" s="1" t="s">
        <v>53</v>
      </c>
      <c r="D10" s="1" t="s">
        <v>54</v>
      </c>
      <c r="E10" s="1" t="s">
        <v>17</v>
      </c>
      <c r="F10" s="1" t="s">
        <v>29</v>
      </c>
      <c r="G10" s="2">
        <v>700</v>
      </c>
      <c r="H10" s="3">
        <v>44962</v>
      </c>
    </row>
    <row r="11" spans="1:8" ht="22" customHeight="1" x14ac:dyDescent="0.35">
      <c r="A11" s="1" t="s">
        <v>55</v>
      </c>
      <c r="B11" s="1" t="s">
        <v>56</v>
      </c>
      <c r="C11" s="1" t="s">
        <v>57</v>
      </c>
      <c r="D11" s="1" t="s">
        <v>58</v>
      </c>
      <c r="E11" s="1" t="s">
        <v>24</v>
      </c>
      <c r="F11" s="1" t="s">
        <v>34</v>
      </c>
      <c r="G11" s="2">
        <v>300</v>
      </c>
      <c r="H11" s="3">
        <v>44966</v>
      </c>
    </row>
    <row r="12" spans="1:8" ht="22" customHeight="1" x14ac:dyDescent="0.35">
      <c r="A12" s="1" t="s">
        <v>59</v>
      </c>
      <c r="B12" s="1" t="s">
        <v>60</v>
      </c>
      <c r="C12" s="1" t="s">
        <v>61</v>
      </c>
      <c r="D12" s="1" t="s">
        <v>62</v>
      </c>
      <c r="E12" s="1" t="s">
        <v>17</v>
      </c>
      <c r="F12" s="1" t="s">
        <v>18</v>
      </c>
      <c r="G12" s="2">
        <v>450</v>
      </c>
      <c r="H12" s="3">
        <v>44971</v>
      </c>
    </row>
    <row r="13" spans="1:8" ht="22" customHeight="1" x14ac:dyDescent="0.35">
      <c r="A13" s="1" t="s">
        <v>63</v>
      </c>
      <c r="B13" s="1" t="s">
        <v>64</v>
      </c>
      <c r="C13" s="1" t="s">
        <v>65</v>
      </c>
      <c r="D13" s="1" t="s">
        <v>66</v>
      </c>
      <c r="E13" s="1" t="s">
        <v>24</v>
      </c>
      <c r="F13" s="1" t="s">
        <v>29</v>
      </c>
      <c r="G13" s="2">
        <v>700</v>
      </c>
      <c r="H13" s="3">
        <v>44975</v>
      </c>
    </row>
    <row r="14" spans="1:8" ht="22" customHeight="1" x14ac:dyDescent="0.35">
      <c r="A14" s="1" t="s">
        <v>67</v>
      </c>
      <c r="B14" s="1" t="s">
        <v>68</v>
      </c>
      <c r="C14" s="1" t="s">
        <v>69</v>
      </c>
      <c r="D14" s="1" t="s">
        <v>70</v>
      </c>
      <c r="E14" s="1" t="s">
        <v>17</v>
      </c>
      <c r="F14" s="1" t="s">
        <v>34</v>
      </c>
      <c r="G14" s="2">
        <v>300</v>
      </c>
      <c r="H14" s="3">
        <v>44976</v>
      </c>
    </row>
    <row r="15" spans="1:8" ht="22" customHeight="1" x14ac:dyDescent="0.35">
      <c r="A15" s="1" t="s">
        <v>71</v>
      </c>
      <c r="B15" s="1" t="s">
        <v>72</v>
      </c>
      <c r="C15" s="1" t="s">
        <v>73</v>
      </c>
      <c r="D15" s="1" t="s">
        <v>74</v>
      </c>
      <c r="E15" s="1" t="s">
        <v>24</v>
      </c>
      <c r="F15" s="1" t="s">
        <v>18</v>
      </c>
      <c r="G15" s="2">
        <v>450</v>
      </c>
      <c r="H15" s="3">
        <v>44978</v>
      </c>
    </row>
    <row r="16" spans="1:8" ht="22" customHeight="1" x14ac:dyDescent="0.35">
      <c r="A16" s="1" t="s">
        <v>75</v>
      </c>
      <c r="B16" s="1" t="s">
        <v>76</v>
      </c>
      <c r="C16" s="1" t="s">
        <v>77</v>
      </c>
      <c r="D16" s="1" t="s">
        <v>78</v>
      </c>
      <c r="E16" s="1" t="s">
        <v>17</v>
      </c>
      <c r="F16" s="1" t="s">
        <v>29</v>
      </c>
      <c r="G16" s="2">
        <v>700</v>
      </c>
      <c r="H16" s="3">
        <v>44979</v>
      </c>
    </row>
    <row r="17" spans="1:8" ht="22" customHeight="1" x14ac:dyDescent="0.35">
      <c r="A17" s="1" t="s">
        <v>79</v>
      </c>
      <c r="B17" s="1" t="s">
        <v>80</v>
      </c>
      <c r="C17" s="1" t="s">
        <v>81</v>
      </c>
      <c r="D17" s="1" t="s">
        <v>82</v>
      </c>
      <c r="E17" s="1" t="s">
        <v>24</v>
      </c>
      <c r="F17" s="1" t="s">
        <v>34</v>
      </c>
      <c r="G17" s="2">
        <v>300</v>
      </c>
      <c r="H17" s="3">
        <v>44982</v>
      </c>
    </row>
    <row r="18" spans="1:8" ht="22" customHeight="1" x14ac:dyDescent="0.35">
      <c r="A18" s="1" t="s">
        <v>83</v>
      </c>
      <c r="B18" s="1" t="s">
        <v>84</v>
      </c>
      <c r="C18" s="1" t="s">
        <v>85</v>
      </c>
      <c r="D18" s="1" t="s">
        <v>86</v>
      </c>
      <c r="E18" s="1" t="s">
        <v>17</v>
      </c>
      <c r="F18" s="1" t="s">
        <v>18</v>
      </c>
      <c r="G18" s="2">
        <v>450</v>
      </c>
      <c r="H18" s="3">
        <v>44999</v>
      </c>
    </row>
    <row r="19" spans="1:8" ht="22" customHeight="1" x14ac:dyDescent="0.35">
      <c r="A19" s="1" t="s">
        <v>87</v>
      </c>
      <c r="B19" s="1" t="s">
        <v>88</v>
      </c>
      <c r="C19" s="1" t="s">
        <v>89</v>
      </c>
      <c r="D19" s="1" t="s">
        <v>90</v>
      </c>
      <c r="E19" s="1" t="s">
        <v>24</v>
      </c>
      <c r="F19" s="1" t="s">
        <v>29</v>
      </c>
      <c r="G19" s="2">
        <v>700</v>
      </c>
      <c r="H19" s="3">
        <v>45019</v>
      </c>
    </row>
    <row r="20" spans="1:8" ht="22" customHeight="1" x14ac:dyDescent="0.35">
      <c r="A20" s="1" t="s">
        <v>91</v>
      </c>
      <c r="B20" s="1" t="s">
        <v>92</v>
      </c>
      <c r="C20" s="1" t="s">
        <v>93</v>
      </c>
      <c r="D20" s="1" t="s">
        <v>94</v>
      </c>
      <c r="E20" s="1" t="s">
        <v>17</v>
      </c>
      <c r="F20" s="1" t="s">
        <v>34</v>
      </c>
      <c r="G20" s="2">
        <v>300</v>
      </c>
      <c r="H20" s="3">
        <v>45026</v>
      </c>
    </row>
    <row r="21" spans="1:8" ht="22" customHeight="1" x14ac:dyDescent="0.35">
      <c r="A21" s="1" t="s">
        <v>95</v>
      </c>
      <c r="B21" s="1" t="s">
        <v>96</v>
      </c>
      <c r="C21" s="1" t="s">
        <v>97</v>
      </c>
      <c r="D21" s="1" t="s">
        <v>98</v>
      </c>
      <c r="E21" s="1" t="s">
        <v>24</v>
      </c>
      <c r="F21" s="1" t="s">
        <v>18</v>
      </c>
      <c r="G21" s="2">
        <v>450</v>
      </c>
      <c r="H21" s="3">
        <v>45028</v>
      </c>
    </row>
    <row r="22" spans="1:8" ht="22" customHeight="1" x14ac:dyDescent="0.35">
      <c r="A22" s="1" t="s">
        <v>99</v>
      </c>
      <c r="B22" s="1" t="s">
        <v>100</v>
      </c>
      <c r="C22" s="1" t="s">
        <v>101</v>
      </c>
      <c r="D22" s="1" t="s">
        <v>102</v>
      </c>
      <c r="E22" s="1" t="s">
        <v>17</v>
      </c>
      <c r="F22" s="1" t="s">
        <v>29</v>
      </c>
      <c r="G22" s="2">
        <v>700</v>
      </c>
      <c r="H22" s="3">
        <v>45036</v>
      </c>
    </row>
    <row r="23" spans="1:8" ht="22" customHeight="1" x14ac:dyDescent="0.35">
      <c r="A23" s="1" t="s">
        <v>103</v>
      </c>
      <c r="B23" s="1" t="s">
        <v>104</v>
      </c>
      <c r="C23" s="1" t="s">
        <v>105</v>
      </c>
      <c r="D23" s="1" t="s">
        <v>106</v>
      </c>
      <c r="E23" s="1" t="s">
        <v>24</v>
      </c>
      <c r="F23" s="1" t="s">
        <v>34</v>
      </c>
      <c r="G23" s="2">
        <v>300</v>
      </c>
      <c r="H23" s="3">
        <v>45040</v>
      </c>
    </row>
    <row r="24" spans="1:8" ht="22" customHeight="1" x14ac:dyDescent="0.35">
      <c r="A24" s="1" t="s">
        <v>107</v>
      </c>
      <c r="B24" s="1" t="s">
        <v>108</v>
      </c>
      <c r="C24" s="1" t="s">
        <v>109</v>
      </c>
      <c r="D24" s="1" t="s">
        <v>110</v>
      </c>
      <c r="E24" s="1" t="s">
        <v>17</v>
      </c>
      <c r="F24" s="1" t="s">
        <v>18</v>
      </c>
      <c r="G24" s="2">
        <v>450</v>
      </c>
      <c r="H24" s="3">
        <v>45041</v>
      </c>
    </row>
    <row r="25" spans="1:8" ht="22" customHeight="1" x14ac:dyDescent="0.35">
      <c r="A25" s="1" t="s">
        <v>111</v>
      </c>
      <c r="B25" s="1" t="s">
        <v>112</v>
      </c>
      <c r="C25" s="1" t="s">
        <v>113</v>
      </c>
      <c r="D25" s="1" t="s">
        <v>114</v>
      </c>
      <c r="E25" s="1" t="s">
        <v>24</v>
      </c>
      <c r="F25" s="1" t="s">
        <v>29</v>
      </c>
      <c r="G25" s="2">
        <v>700</v>
      </c>
      <c r="H25" s="3">
        <v>45048</v>
      </c>
    </row>
    <row r="26" spans="1:8" ht="22" customHeight="1" x14ac:dyDescent="0.35">
      <c r="A26" s="1" t="s">
        <v>115</v>
      </c>
      <c r="B26" s="1" t="s">
        <v>116</v>
      </c>
      <c r="C26" s="1" t="s">
        <v>117</v>
      </c>
      <c r="D26" s="1" t="s">
        <v>118</v>
      </c>
      <c r="E26" s="1" t="s">
        <v>17</v>
      </c>
      <c r="F26" s="1" t="s">
        <v>34</v>
      </c>
      <c r="G26" s="2">
        <v>300</v>
      </c>
      <c r="H26" s="3">
        <v>45071</v>
      </c>
    </row>
    <row r="27" spans="1:8" ht="22" customHeight="1" x14ac:dyDescent="0.35">
      <c r="A27" s="1" t="s">
        <v>119</v>
      </c>
      <c r="B27" s="1" t="s">
        <v>120</v>
      </c>
      <c r="C27" s="1" t="s">
        <v>121</v>
      </c>
      <c r="D27" s="1" t="s">
        <v>122</v>
      </c>
      <c r="E27" s="1" t="s">
        <v>24</v>
      </c>
      <c r="F27" s="1" t="s">
        <v>18</v>
      </c>
      <c r="G27" s="2">
        <v>450</v>
      </c>
      <c r="H27" s="3">
        <v>45072</v>
      </c>
    </row>
    <row r="28" spans="1:8" ht="22" customHeight="1" x14ac:dyDescent="0.35">
      <c r="A28" s="1" t="s">
        <v>123</v>
      </c>
      <c r="B28" s="1" t="s">
        <v>124</v>
      </c>
      <c r="C28" s="1" t="s">
        <v>125</v>
      </c>
      <c r="D28" s="1" t="s">
        <v>126</v>
      </c>
      <c r="E28" s="1" t="s">
        <v>17</v>
      </c>
      <c r="F28" s="1" t="s">
        <v>29</v>
      </c>
      <c r="G28" s="2">
        <v>700</v>
      </c>
      <c r="H28" s="3">
        <v>45094</v>
      </c>
    </row>
    <row r="29" spans="1:8" ht="22" customHeight="1" x14ac:dyDescent="0.35">
      <c r="A29" s="1" t="s">
        <v>127</v>
      </c>
      <c r="B29" s="1" t="s">
        <v>128</v>
      </c>
      <c r="C29" s="1" t="s">
        <v>129</v>
      </c>
      <c r="D29" s="1" t="s">
        <v>130</v>
      </c>
      <c r="E29" s="1" t="s">
        <v>24</v>
      </c>
      <c r="F29" s="1" t="s">
        <v>34</v>
      </c>
      <c r="G29" s="2">
        <v>300</v>
      </c>
      <c r="H29" s="3">
        <v>45101</v>
      </c>
    </row>
    <row r="30" spans="1:8" ht="22" customHeight="1" x14ac:dyDescent="0.35">
      <c r="A30" s="1" t="s">
        <v>131</v>
      </c>
      <c r="B30" s="1" t="s">
        <v>132</v>
      </c>
      <c r="C30" s="1" t="s">
        <v>133</v>
      </c>
      <c r="D30" s="1" t="s">
        <v>134</v>
      </c>
      <c r="E30" s="1" t="s">
        <v>17</v>
      </c>
      <c r="F30" s="1" t="s">
        <v>18</v>
      </c>
      <c r="G30" s="2">
        <v>450</v>
      </c>
      <c r="H30" s="3">
        <v>45113</v>
      </c>
    </row>
    <row r="31" spans="1:8" ht="22" customHeight="1" x14ac:dyDescent="0.35">
      <c r="A31" s="1" t="s">
        <v>135</v>
      </c>
      <c r="B31" s="1" t="s">
        <v>136</v>
      </c>
      <c r="C31" s="1" t="s">
        <v>137</v>
      </c>
      <c r="D31" s="1" t="s">
        <v>138</v>
      </c>
      <c r="E31" s="1" t="s">
        <v>24</v>
      </c>
      <c r="F31" s="1" t="s">
        <v>29</v>
      </c>
      <c r="G31" s="2">
        <v>700</v>
      </c>
      <c r="H31" s="3">
        <v>45114</v>
      </c>
    </row>
    <row r="32" spans="1:8" ht="22" customHeight="1" x14ac:dyDescent="0.35">
      <c r="A32" s="1" t="s">
        <v>139</v>
      </c>
      <c r="B32" s="1" t="s">
        <v>140</v>
      </c>
      <c r="C32" s="1" t="s">
        <v>141</v>
      </c>
      <c r="D32" s="1" t="s">
        <v>142</v>
      </c>
      <c r="E32" s="1" t="s">
        <v>17</v>
      </c>
      <c r="F32" s="1" t="s">
        <v>34</v>
      </c>
      <c r="G32" s="2">
        <v>300</v>
      </c>
      <c r="H32" s="3">
        <v>45131</v>
      </c>
    </row>
    <row r="33" spans="1:8" ht="22" customHeight="1" x14ac:dyDescent="0.35">
      <c r="A33" s="1" t="s">
        <v>143</v>
      </c>
      <c r="B33" s="1" t="s">
        <v>144</v>
      </c>
      <c r="C33" s="1" t="s">
        <v>145</v>
      </c>
      <c r="D33" s="1" t="s">
        <v>146</v>
      </c>
      <c r="E33" s="1" t="s">
        <v>24</v>
      </c>
      <c r="F33" s="1" t="s">
        <v>18</v>
      </c>
      <c r="G33" s="2">
        <v>450</v>
      </c>
      <c r="H33" s="3">
        <v>45133</v>
      </c>
    </row>
    <row r="34" spans="1:8" ht="22" customHeight="1" x14ac:dyDescent="0.35">
      <c r="A34" s="1" t="s">
        <v>147</v>
      </c>
      <c r="B34" s="1" t="s">
        <v>148</v>
      </c>
      <c r="C34" s="1" t="s">
        <v>149</v>
      </c>
      <c r="D34" s="1" t="s">
        <v>150</v>
      </c>
      <c r="E34" s="1" t="s">
        <v>17</v>
      </c>
      <c r="F34" s="1" t="s">
        <v>29</v>
      </c>
      <c r="G34" s="2">
        <v>700</v>
      </c>
      <c r="H34" s="3">
        <v>45138</v>
      </c>
    </row>
    <row r="35" spans="1:8" ht="22" customHeight="1" x14ac:dyDescent="0.35">
      <c r="A35" s="1" t="s">
        <v>151</v>
      </c>
      <c r="B35" s="1" t="s">
        <v>152</v>
      </c>
      <c r="C35" s="1" t="s">
        <v>153</v>
      </c>
      <c r="D35" s="1" t="s">
        <v>154</v>
      </c>
      <c r="E35" s="1" t="s">
        <v>24</v>
      </c>
      <c r="F35" s="1" t="s">
        <v>34</v>
      </c>
      <c r="G35" s="2">
        <v>300</v>
      </c>
      <c r="H35" s="3">
        <v>45142</v>
      </c>
    </row>
    <row r="36" spans="1:8" ht="22" customHeight="1" x14ac:dyDescent="0.35">
      <c r="A36" s="1" t="s">
        <v>155</v>
      </c>
      <c r="B36" s="1" t="s">
        <v>156</v>
      </c>
      <c r="C36" s="1" t="s">
        <v>157</v>
      </c>
      <c r="D36" s="1" t="s">
        <v>158</v>
      </c>
      <c r="E36" s="1" t="s">
        <v>17</v>
      </c>
      <c r="F36" s="1" t="s">
        <v>18</v>
      </c>
      <c r="G36" s="2">
        <v>450</v>
      </c>
      <c r="H36" s="3">
        <v>45155</v>
      </c>
    </row>
    <row r="37" spans="1:8" ht="22" customHeight="1" x14ac:dyDescent="0.35">
      <c r="A37" s="1" t="s">
        <v>159</v>
      </c>
      <c r="B37" s="1" t="s">
        <v>160</v>
      </c>
      <c r="C37" s="1" t="s">
        <v>161</v>
      </c>
      <c r="D37" s="1" t="s">
        <v>162</v>
      </c>
      <c r="E37" s="1" t="s">
        <v>24</v>
      </c>
      <c r="F37" s="1" t="s">
        <v>29</v>
      </c>
      <c r="G37" s="2">
        <v>700</v>
      </c>
      <c r="H37" s="3">
        <v>45155</v>
      </c>
    </row>
    <row r="38" spans="1:8" ht="22" customHeight="1" x14ac:dyDescent="0.35">
      <c r="A38" s="1" t="s">
        <v>163</v>
      </c>
      <c r="B38" s="1" t="s">
        <v>164</v>
      </c>
      <c r="C38" s="1" t="s">
        <v>165</v>
      </c>
      <c r="D38" s="1" t="s">
        <v>166</v>
      </c>
      <c r="E38" s="1" t="s">
        <v>17</v>
      </c>
      <c r="F38" s="1" t="s">
        <v>34</v>
      </c>
      <c r="G38" s="2">
        <v>300</v>
      </c>
      <c r="H38" s="3">
        <v>45178</v>
      </c>
    </row>
    <row r="39" spans="1:8" ht="22" customHeight="1" x14ac:dyDescent="0.35">
      <c r="A39" s="1" t="s">
        <v>167</v>
      </c>
      <c r="B39" s="1" t="s">
        <v>168</v>
      </c>
      <c r="C39" s="1" t="s">
        <v>169</v>
      </c>
      <c r="D39" s="1" t="s">
        <v>170</v>
      </c>
      <c r="E39" s="1" t="s">
        <v>24</v>
      </c>
      <c r="F39" s="1" t="s">
        <v>18</v>
      </c>
      <c r="G39" s="2">
        <v>450</v>
      </c>
      <c r="H39" s="3">
        <v>45180</v>
      </c>
    </row>
    <row r="40" spans="1:8" ht="22" customHeight="1" x14ac:dyDescent="0.35">
      <c r="A40" s="1" t="s">
        <v>171</v>
      </c>
      <c r="B40" s="1" t="s">
        <v>172</v>
      </c>
      <c r="C40" s="1" t="s">
        <v>173</v>
      </c>
      <c r="D40" s="1" t="s">
        <v>174</v>
      </c>
      <c r="E40" s="1" t="s">
        <v>17</v>
      </c>
      <c r="F40" s="1" t="s">
        <v>29</v>
      </c>
      <c r="G40" s="2">
        <v>700</v>
      </c>
      <c r="H40" s="3">
        <v>45199</v>
      </c>
    </row>
    <row r="41" spans="1:8" ht="22" customHeight="1" x14ac:dyDescent="0.35">
      <c r="A41" s="1" t="s">
        <v>175</v>
      </c>
      <c r="B41" s="1" t="s">
        <v>176</v>
      </c>
      <c r="C41" s="1" t="s">
        <v>177</v>
      </c>
      <c r="D41" s="1" t="s">
        <v>178</v>
      </c>
      <c r="E41" s="1" t="s">
        <v>24</v>
      </c>
      <c r="F41" s="1" t="s">
        <v>34</v>
      </c>
      <c r="G41" s="2">
        <v>300</v>
      </c>
      <c r="H41" s="3">
        <v>45213</v>
      </c>
    </row>
    <row r="42" spans="1:8" ht="22" customHeight="1" x14ac:dyDescent="0.35">
      <c r="A42" s="1" t="s">
        <v>179</v>
      </c>
      <c r="B42" s="1" t="s">
        <v>180</v>
      </c>
      <c r="C42" s="1" t="s">
        <v>181</v>
      </c>
      <c r="D42" s="1" t="s">
        <v>182</v>
      </c>
      <c r="E42" s="1" t="s">
        <v>17</v>
      </c>
      <c r="F42" s="1" t="s">
        <v>18</v>
      </c>
      <c r="G42" s="2">
        <v>450</v>
      </c>
      <c r="H42" s="3">
        <v>45215</v>
      </c>
    </row>
    <row r="43" spans="1:8" ht="22" customHeight="1" x14ac:dyDescent="0.35">
      <c r="A43" s="1" t="s">
        <v>183</v>
      </c>
      <c r="B43" s="1" t="s">
        <v>184</v>
      </c>
      <c r="C43" s="1" t="s">
        <v>185</v>
      </c>
      <c r="D43" s="1" t="s">
        <v>186</v>
      </c>
      <c r="E43" s="1" t="s">
        <v>24</v>
      </c>
      <c r="F43" s="1" t="s">
        <v>29</v>
      </c>
      <c r="G43" s="2">
        <v>700</v>
      </c>
      <c r="H43" s="3">
        <v>45224</v>
      </c>
    </row>
    <row r="44" spans="1:8" ht="22" customHeight="1" x14ac:dyDescent="0.35">
      <c r="A44" s="1" t="s">
        <v>187</v>
      </c>
      <c r="B44" s="1" t="s">
        <v>188</v>
      </c>
      <c r="C44" s="1" t="s">
        <v>189</v>
      </c>
      <c r="D44" s="1" t="s">
        <v>190</v>
      </c>
      <c r="E44" s="1" t="s">
        <v>17</v>
      </c>
      <c r="F44" s="1" t="s">
        <v>34</v>
      </c>
      <c r="G44" s="2">
        <v>300</v>
      </c>
      <c r="H44" s="3">
        <v>45230</v>
      </c>
    </row>
    <row r="45" spans="1:8" ht="22" customHeight="1" x14ac:dyDescent="0.35">
      <c r="A45" s="1" t="s">
        <v>191</v>
      </c>
      <c r="B45" s="1" t="s">
        <v>192</v>
      </c>
      <c r="C45" s="1" t="s">
        <v>193</v>
      </c>
      <c r="D45" s="1" t="s">
        <v>194</v>
      </c>
      <c r="E45" s="1" t="s">
        <v>24</v>
      </c>
      <c r="F45" s="1" t="s">
        <v>18</v>
      </c>
      <c r="G45" s="2">
        <v>450</v>
      </c>
      <c r="H45" s="3">
        <v>45233</v>
      </c>
    </row>
    <row r="46" spans="1:8" ht="22" customHeight="1" x14ac:dyDescent="0.35">
      <c r="A46" s="1" t="s">
        <v>195</v>
      </c>
      <c r="B46" s="1" t="s">
        <v>196</v>
      </c>
      <c r="C46" s="1" t="s">
        <v>197</v>
      </c>
      <c r="D46" s="1" t="s">
        <v>198</v>
      </c>
      <c r="E46" s="1" t="s">
        <v>17</v>
      </c>
      <c r="F46" s="1" t="s">
        <v>29</v>
      </c>
      <c r="G46" s="2">
        <v>700</v>
      </c>
      <c r="H46" s="3">
        <v>45260</v>
      </c>
    </row>
    <row r="47" spans="1:8" ht="22" customHeight="1" x14ac:dyDescent="0.35">
      <c r="A47" s="1" t="s">
        <v>199</v>
      </c>
      <c r="B47" s="1" t="s">
        <v>200</v>
      </c>
      <c r="C47" s="1" t="s">
        <v>201</v>
      </c>
      <c r="D47" s="1" t="s">
        <v>202</v>
      </c>
      <c r="E47" s="1" t="s">
        <v>24</v>
      </c>
      <c r="F47" s="1" t="s">
        <v>34</v>
      </c>
      <c r="G47" s="2">
        <v>300</v>
      </c>
      <c r="H47" s="3">
        <v>45263</v>
      </c>
    </row>
    <row r="48" spans="1:8" ht="22" customHeight="1" x14ac:dyDescent="0.35">
      <c r="A48" s="1" t="s">
        <v>203</v>
      </c>
      <c r="B48" s="1" t="s">
        <v>204</v>
      </c>
      <c r="C48" s="1" t="s">
        <v>205</v>
      </c>
      <c r="D48" s="1" t="s">
        <v>206</v>
      </c>
      <c r="E48" s="1" t="s">
        <v>17</v>
      </c>
      <c r="F48" s="1" t="s">
        <v>18</v>
      </c>
      <c r="G48" s="2">
        <v>450</v>
      </c>
      <c r="H48" s="3">
        <v>45269</v>
      </c>
    </row>
    <row r="49" spans="1:8" ht="22" customHeight="1" x14ac:dyDescent="0.35">
      <c r="A49" s="1" t="s">
        <v>207</v>
      </c>
      <c r="B49" s="1" t="s">
        <v>208</v>
      </c>
      <c r="C49" s="1" t="s">
        <v>209</v>
      </c>
      <c r="D49" s="1" t="s">
        <v>210</v>
      </c>
      <c r="E49" s="1" t="s">
        <v>24</v>
      </c>
      <c r="F49" s="1" t="s">
        <v>29</v>
      </c>
      <c r="G49" s="2">
        <v>700</v>
      </c>
      <c r="H49" s="3">
        <v>45299</v>
      </c>
    </row>
    <row r="50" spans="1:8" ht="22" customHeight="1" x14ac:dyDescent="0.35">
      <c r="A50" s="1" t="s">
        <v>211</v>
      </c>
      <c r="B50" s="1" t="s">
        <v>212</v>
      </c>
      <c r="C50" s="1" t="s">
        <v>213</v>
      </c>
      <c r="D50" s="1" t="s">
        <v>214</v>
      </c>
      <c r="E50" s="1" t="s">
        <v>17</v>
      </c>
      <c r="F50" s="1" t="s">
        <v>34</v>
      </c>
      <c r="G50" s="2">
        <v>300</v>
      </c>
      <c r="H50" s="3">
        <v>45307</v>
      </c>
    </row>
    <row r="51" spans="1:8" ht="22" customHeight="1" x14ac:dyDescent="0.35">
      <c r="A51" s="1" t="s">
        <v>215</v>
      </c>
      <c r="B51" s="1" t="s">
        <v>216</v>
      </c>
      <c r="C51" s="1" t="s">
        <v>217</v>
      </c>
      <c r="D51" s="1" t="s">
        <v>218</v>
      </c>
      <c r="E51" s="1" t="s">
        <v>24</v>
      </c>
      <c r="F51" s="1" t="s">
        <v>18</v>
      </c>
      <c r="G51" s="2">
        <v>450</v>
      </c>
      <c r="H51" s="3">
        <v>45313</v>
      </c>
    </row>
    <row r="52" spans="1:8" ht="22" customHeight="1" x14ac:dyDescent="0.35">
      <c r="A52" s="1" t="s">
        <v>219</v>
      </c>
      <c r="B52" s="1" t="s">
        <v>220</v>
      </c>
      <c r="C52" s="1" t="s">
        <v>221</v>
      </c>
      <c r="D52" s="1" t="s">
        <v>222</v>
      </c>
      <c r="E52" s="1" t="s">
        <v>17</v>
      </c>
      <c r="F52" s="1" t="s">
        <v>29</v>
      </c>
      <c r="G52" s="2">
        <v>700</v>
      </c>
      <c r="H52" s="3">
        <v>45313</v>
      </c>
    </row>
    <row r="53" spans="1:8" ht="22" customHeight="1" x14ac:dyDescent="0.35">
      <c r="A53" s="1" t="s">
        <v>223</v>
      </c>
      <c r="B53" s="1" t="s">
        <v>224</v>
      </c>
      <c r="C53" s="1" t="s">
        <v>225</v>
      </c>
      <c r="D53" s="1" t="s">
        <v>226</v>
      </c>
      <c r="E53" s="1" t="s">
        <v>24</v>
      </c>
      <c r="F53" s="1" t="s">
        <v>34</v>
      </c>
      <c r="G53" s="2">
        <v>300</v>
      </c>
      <c r="H53" s="3">
        <v>45315</v>
      </c>
    </row>
    <row r="54" spans="1:8" ht="22" customHeight="1" x14ac:dyDescent="0.35">
      <c r="A54" s="1" t="s">
        <v>227</v>
      </c>
      <c r="B54" s="1" t="s">
        <v>228</v>
      </c>
      <c r="C54" s="1" t="s">
        <v>229</v>
      </c>
      <c r="D54" s="1" t="s">
        <v>230</v>
      </c>
      <c r="E54" s="1" t="s">
        <v>17</v>
      </c>
      <c r="F54" s="1" t="s">
        <v>18</v>
      </c>
      <c r="G54" s="2">
        <v>450</v>
      </c>
      <c r="H54" s="3">
        <v>45322</v>
      </c>
    </row>
    <row r="55" spans="1:8" ht="22" customHeight="1" x14ac:dyDescent="0.35">
      <c r="A55" s="1" t="s">
        <v>231</v>
      </c>
      <c r="B55" s="1" t="s">
        <v>232</v>
      </c>
      <c r="C55" s="1" t="s">
        <v>233</v>
      </c>
      <c r="D55" s="1" t="s">
        <v>234</v>
      </c>
      <c r="E55" s="1" t="s">
        <v>24</v>
      </c>
      <c r="F55" s="1" t="s">
        <v>29</v>
      </c>
      <c r="G55" s="2">
        <v>700</v>
      </c>
      <c r="H55" s="3">
        <v>45322</v>
      </c>
    </row>
    <row r="56" spans="1:8" ht="22" customHeight="1" x14ac:dyDescent="0.35">
      <c r="A56" s="1" t="s">
        <v>235</v>
      </c>
      <c r="B56" s="1" t="s">
        <v>236</v>
      </c>
      <c r="C56" s="1" t="s">
        <v>237</v>
      </c>
      <c r="D56" s="1" t="s">
        <v>238</v>
      </c>
      <c r="E56" s="1" t="s">
        <v>17</v>
      </c>
      <c r="F56" s="1" t="s">
        <v>34</v>
      </c>
      <c r="G56" s="2">
        <v>300</v>
      </c>
      <c r="H56" s="3">
        <v>45330</v>
      </c>
    </row>
    <row r="57" spans="1:8" ht="22" customHeight="1" x14ac:dyDescent="0.35">
      <c r="A57" s="1" t="s">
        <v>239</v>
      </c>
      <c r="B57" s="1" t="s">
        <v>240</v>
      </c>
      <c r="C57" s="1" t="s">
        <v>241</v>
      </c>
      <c r="D57" s="1" t="s">
        <v>242</v>
      </c>
      <c r="E57" s="1" t="s">
        <v>24</v>
      </c>
      <c r="F57" s="1" t="s">
        <v>18</v>
      </c>
      <c r="G57" s="2">
        <v>450</v>
      </c>
      <c r="H57" s="3">
        <v>45331</v>
      </c>
    </row>
    <row r="58" spans="1:8" ht="22" customHeight="1" x14ac:dyDescent="0.35">
      <c r="A58" s="1" t="s">
        <v>243</v>
      </c>
      <c r="B58" s="1" t="s">
        <v>244</v>
      </c>
      <c r="C58" s="1" t="s">
        <v>245</v>
      </c>
      <c r="D58" s="1" t="s">
        <v>246</v>
      </c>
      <c r="E58" s="1" t="s">
        <v>17</v>
      </c>
      <c r="F58" s="1" t="s">
        <v>29</v>
      </c>
      <c r="G58" s="2">
        <v>700</v>
      </c>
      <c r="H58" s="3">
        <v>45333</v>
      </c>
    </row>
    <row r="59" spans="1:8" ht="22" customHeight="1" x14ac:dyDescent="0.35">
      <c r="A59" s="1" t="s">
        <v>247</v>
      </c>
      <c r="B59" s="1" t="s">
        <v>248</v>
      </c>
      <c r="C59" s="1" t="s">
        <v>249</v>
      </c>
      <c r="D59" s="1" t="s">
        <v>250</v>
      </c>
      <c r="E59" s="1" t="s">
        <v>24</v>
      </c>
      <c r="F59" s="1" t="s">
        <v>34</v>
      </c>
      <c r="G59" s="2">
        <v>300</v>
      </c>
      <c r="H59" s="3">
        <v>45338</v>
      </c>
    </row>
    <row r="60" spans="1:8" ht="22" customHeight="1" x14ac:dyDescent="0.35">
      <c r="A60" s="1" t="s">
        <v>251</v>
      </c>
      <c r="B60" s="1" t="s">
        <v>252</v>
      </c>
      <c r="C60" s="1" t="s">
        <v>253</v>
      </c>
      <c r="D60" s="1" t="s">
        <v>254</v>
      </c>
      <c r="E60" s="1" t="s">
        <v>17</v>
      </c>
      <c r="F60" s="1" t="s">
        <v>18</v>
      </c>
      <c r="G60" s="2">
        <v>450</v>
      </c>
      <c r="H60" s="3">
        <v>45343</v>
      </c>
    </row>
    <row r="61" spans="1:8" ht="22" customHeight="1" x14ac:dyDescent="0.35">
      <c r="A61" s="1" t="s">
        <v>255</v>
      </c>
      <c r="B61" s="1" t="s">
        <v>256</v>
      </c>
      <c r="C61" s="1" t="s">
        <v>257</v>
      </c>
      <c r="D61" s="1" t="s">
        <v>258</v>
      </c>
      <c r="E61" s="1" t="s">
        <v>24</v>
      </c>
      <c r="F61" s="1" t="s">
        <v>29</v>
      </c>
      <c r="G61" s="2">
        <v>700</v>
      </c>
      <c r="H61" s="3">
        <v>45345</v>
      </c>
    </row>
    <row r="62" spans="1:8" ht="22" customHeight="1" x14ac:dyDescent="0.35">
      <c r="A62" s="1" t="s">
        <v>259</v>
      </c>
      <c r="B62" s="1" t="s">
        <v>260</v>
      </c>
      <c r="C62" s="1" t="s">
        <v>261</v>
      </c>
      <c r="D62" s="1" t="s">
        <v>262</v>
      </c>
      <c r="E62" s="1" t="s">
        <v>17</v>
      </c>
      <c r="F62" s="1" t="s">
        <v>34</v>
      </c>
      <c r="G62" s="2">
        <v>300</v>
      </c>
      <c r="H62" s="3">
        <v>45349</v>
      </c>
    </row>
    <row r="63" spans="1:8" ht="22" customHeight="1" x14ac:dyDescent="0.35">
      <c r="A63" s="1" t="s">
        <v>263</v>
      </c>
      <c r="B63" s="1" t="s">
        <v>264</v>
      </c>
      <c r="C63" s="1" t="s">
        <v>265</v>
      </c>
      <c r="D63" s="1" t="s">
        <v>266</v>
      </c>
      <c r="E63" s="1" t="s">
        <v>24</v>
      </c>
      <c r="F63" s="1" t="s">
        <v>18</v>
      </c>
      <c r="G63" s="2">
        <v>450</v>
      </c>
      <c r="H63" s="3">
        <v>45350</v>
      </c>
    </row>
    <row r="64" spans="1:8" ht="22" customHeight="1" x14ac:dyDescent="0.35">
      <c r="A64" s="1" t="s">
        <v>267</v>
      </c>
      <c r="B64" s="1" t="s">
        <v>268</v>
      </c>
      <c r="C64" s="1" t="s">
        <v>269</v>
      </c>
      <c r="D64" s="1" t="s">
        <v>270</v>
      </c>
      <c r="E64" s="1" t="s">
        <v>17</v>
      </c>
      <c r="F64" s="1" t="s">
        <v>29</v>
      </c>
      <c r="G64" s="2">
        <v>700</v>
      </c>
      <c r="H64" s="3">
        <v>45350</v>
      </c>
    </row>
    <row r="65" spans="1:8" ht="22" customHeight="1" x14ac:dyDescent="0.35">
      <c r="A65" s="1" t="s">
        <v>271</v>
      </c>
      <c r="B65" s="1" t="s">
        <v>272</v>
      </c>
      <c r="C65" s="1" t="s">
        <v>273</v>
      </c>
      <c r="D65" s="1" t="s">
        <v>274</v>
      </c>
      <c r="E65" s="1" t="s">
        <v>24</v>
      </c>
      <c r="F65" s="1" t="s">
        <v>34</v>
      </c>
      <c r="G65" s="2">
        <v>300</v>
      </c>
      <c r="H65" s="3">
        <v>45353</v>
      </c>
    </row>
    <row r="66" spans="1:8" ht="22" customHeight="1" x14ac:dyDescent="0.35">
      <c r="A66" s="1" t="s">
        <v>275</v>
      </c>
      <c r="B66" s="1" t="s">
        <v>276</v>
      </c>
      <c r="C66" s="1" t="s">
        <v>277</v>
      </c>
      <c r="D66" s="1" t="s">
        <v>278</v>
      </c>
      <c r="E66" s="1" t="s">
        <v>17</v>
      </c>
      <c r="F66" s="1" t="s">
        <v>18</v>
      </c>
      <c r="G66" s="2">
        <v>450</v>
      </c>
      <c r="H66" s="3">
        <v>45353</v>
      </c>
    </row>
    <row r="67" spans="1:8" ht="22" customHeight="1" x14ac:dyDescent="0.35">
      <c r="A67" s="1" t="s">
        <v>279</v>
      </c>
      <c r="B67" s="1" t="s">
        <v>280</v>
      </c>
      <c r="C67" s="1" t="s">
        <v>281</v>
      </c>
      <c r="D67" s="1" t="s">
        <v>282</v>
      </c>
      <c r="E67" s="1" t="s">
        <v>24</v>
      </c>
      <c r="F67" s="1" t="s">
        <v>29</v>
      </c>
      <c r="G67" s="2">
        <v>700</v>
      </c>
      <c r="H67" s="3">
        <v>45368</v>
      </c>
    </row>
    <row r="68" spans="1:8" ht="22" customHeight="1" x14ac:dyDescent="0.35">
      <c r="A68" s="1" t="s">
        <v>283</v>
      </c>
      <c r="B68" s="1" t="s">
        <v>284</v>
      </c>
      <c r="C68" s="1" t="s">
        <v>285</v>
      </c>
      <c r="D68" s="1" t="s">
        <v>286</v>
      </c>
      <c r="E68" s="1" t="s">
        <v>17</v>
      </c>
      <c r="F68" s="1" t="s">
        <v>34</v>
      </c>
      <c r="G68" s="2">
        <v>300</v>
      </c>
      <c r="H68" s="3">
        <v>45373</v>
      </c>
    </row>
    <row r="69" spans="1:8" ht="22" customHeight="1" x14ac:dyDescent="0.35">
      <c r="A69" s="1" t="s">
        <v>287</v>
      </c>
      <c r="B69" s="1" t="s">
        <v>288</v>
      </c>
      <c r="C69" s="1" t="s">
        <v>289</v>
      </c>
      <c r="D69" s="1" t="s">
        <v>290</v>
      </c>
      <c r="E69" s="1" t="s">
        <v>24</v>
      </c>
      <c r="F69" s="1" t="s">
        <v>18</v>
      </c>
      <c r="G69" s="2">
        <v>450</v>
      </c>
      <c r="H69" s="3">
        <v>45375</v>
      </c>
    </row>
    <row r="70" spans="1:8" ht="22" customHeight="1" x14ac:dyDescent="0.35">
      <c r="A70" s="1" t="s">
        <v>291</v>
      </c>
      <c r="B70" s="1" t="s">
        <v>292</v>
      </c>
      <c r="C70" s="1" t="s">
        <v>293</v>
      </c>
      <c r="D70" s="1" t="s">
        <v>294</v>
      </c>
      <c r="E70" s="1" t="s">
        <v>17</v>
      </c>
      <c r="F70" s="1" t="s">
        <v>29</v>
      </c>
      <c r="G70" s="2">
        <v>700</v>
      </c>
      <c r="H70" s="3">
        <v>45391</v>
      </c>
    </row>
    <row r="71" spans="1:8" ht="22" customHeight="1" x14ac:dyDescent="0.35">
      <c r="A71" s="1" t="s">
        <v>295</v>
      </c>
      <c r="B71" s="1" t="s">
        <v>296</v>
      </c>
      <c r="C71" s="1" t="s">
        <v>297</v>
      </c>
      <c r="D71" s="1" t="s">
        <v>298</v>
      </c>
      <c r="E71" s="1" t="s">
        <v>24</v>
      </c>
      <c r="F71" s="1" t="s">
        <v>34</v>
      </c>
      <c r="G71" s="2">
        <v>300</v>
      </c>
      <c r="H71" s="3">
        <v>45399</v>
      </c>
    </row>
    <row r="72" spans="1:8" ht="22" customHeight="1" x14ac:dyDescent="0.35">
      <c r="A72" s="1" t="s">
        <v>299</v>
      </c>
      <c r="B72" s="1" t="s">
        <v>300</v>
      </c>
      <c r="C72" s="1" t="s">
        <v>301</v>
      </c>
      <c r="D72" s="1" t="s">
        <v>302</v>
      </c>
      <c r="E72" s="1" t="s">
        <v>17</v>
      </c>
      <c r="F72" s="1" t="s">
        <v>18</v>
      </c>
      <c r="G72" s="2">
        <v>450</v>
      </c>
      <c r="H72" s="3">
        <v>45410</v>
      </c>
    </row>
    <row r="73" spans="1:8" ht="22" customHeight="1" x14ac:dyDescent="0.35">
      <c r="A73" s="1" t="s">
        <v>303</v>
      </c>
      <c r="B73" s="1" t="s">
        <v>304</v>
      </c>
      <c r="C73" s="1" t="s">
        <v>305</v>
      </c>
      <c r="D73" s="1" t="s">
        <v>306</v>
      </c>
      <c r="E73" s="1" t="s">
        <v>24</v>
      </c>
      <c r="F73" s="1" t="s">
        <v>29</v>
      </c>
      <c r="G73" s="2">
        <v>700</v>
      </c>
      <c r="H73" s="3">
        <v>45416</v>
      </c>
    </row>
    <row r="74" spans="1:8" ht="22" customHeight="1" x14ac:dyDescent="0.35">
      <c r="A74" s="1" t="s">
        <v>307</v>
      </c>
      <c r="B74" s="1" t="s">
        <v>308</v>
      </c>
      <c r="C74" s="1" t="s">
        <v>309</v>
      </c>
      <c r="D74" s="1" t="s">
        <v>310</v>
      </c>
      <c r="E74" s="1" t="s">
        <v>17</v>
      </c>
      <c r="F74" s="1" t="s">
        <v>34</v>
      </c>
      <c r="G74" s="2">
        <v>300</v>
      </c>
      <c r="H74" s="3">
        <v>45425</v>
      </c>
    </row>
    <row r="75" spans="1:8" ht="22" customHeight="1" x14ac:dyDescent="0.35">
      <c r="A75" s="1" t="s">
        <v>311</v>
      </c>
      <c r="B75" s="1" t="s">
        <v>312</v>
      </c>
      <c r="C75" s="1" t="s">
        <v>313</v>
      </c>
      <c r="D75" s="1" t="s">
        <v>314</v>
      </c>
      <c r="E75" s="1" t="s">
        <v>24</v>
      </c>
      <c r="F75" s="1" t="s">
        <v>18</v>
      </c>
      <c r="G75" s="2">
        <v>450</v>
      </c>
      <c r="H75" s="3">
        <v>45437</v>
      </c>
    </row>
    <row r="76" spans="1:8" ht="22" customHeight="1" x14ac:dyDescent="0.35">
      <c r="A76" s="1" t="s">
        <v>315</v>
      </c>
      <c r="B76" s="1" t="s">
        <v>316</v>
      </c>
      <c r="C76" s="1" t="s">
        <v>317</v>
      </c>
      <c r="D76" s="1" t="s">
        <v>318</v>
      </c>
      <c r="E76" s="1" t="s">
        <v>17</v>
      </c>
      <c r="F76" s="1" t="s">
        <v>29</v>
      </c>
      <c r="G76" s="2">
        <v>700</v>
      </c>
      <c r="H76" s="3">
        <v>45456</v>
      </c>
    </row>
    <row r="77" spans="1:8" ht="22" customHeight="1" x14ac:dyDescent="0.35">
      <c r="A77" s="1" t="s">
        <v>319</v>
      </c>
      <c r="B77" s="1" t="s">
        <v>320</v>
      </c>
      <c r="C77" s="1" t="s">
        <v>321</v>
      </c>
      <c r="D77" s="1" t="s">
        <v>322</v>
      </c>
      <c r="E77" s="1" t="s">
        <v>24</v>
      </c>
      <c r="F77" s="1" t="s">
        <v>34</v>
      </c>
      <c r="G77" s="2">
        <v>300</v>
      </c>
      <c r="H77" s="3">
        <v>45459</v>
      </c>
    </row>
    <row r="78" spans="1:8" ht="22" customHeight="1" x14ac:dyDescent="0.35">
      <c r="A78" s="1" t="s">
        <v>323</v>
      </c>
      <c r="B78" s="1" t="s">
        <v>324</v>
      </c>
      <c r="C78" s="1" t="s">
        <v>325</v>
      </c>
      <c r="D78" s="1" t="s">
        <v>326</v>
      </c>
      <c r="E78" s="1" t="s">
        <v>17</v>
      </c>
      <c r="F78" s="1" t="s">
        <v>18</v>
      </c>
      <c r="G78" s="2">
        <v>450</v>
      </c>
      <c r="H78" s="3">
        <v>45461</v>
      </c>
    </row>
    <row r="79" spans="1:8" ht="22" customHeight="1" x14ac:dyDescent="0.35">
      <c r="A79" s="1" t="s">
        <v>327</v>
      </c>
      <c r="B79" s="1" t="s">
        <v>328</v>
      </c>
      <c r="C79" s="1" t="s">
        <v>329</v>
      </c>
      <c r="D79" s="1" t="s">
        <v>330</v>
      </c>
      <c r="E79" s="1" t="s">
        <v>24</v>
      </c>
      <c r="F79" s="1" t="s">
        <v>29</v>
      </c>
      <c r="G79" s="2">
        <v>700</v>
      </c>
      <c r="H79" s="3">
        <v>45466</v>
      </c>
    </row>
    <row r="80" spans="1:8" ht="22" customHeight="1" x14ac:dyDescent="0.35">
      <c r="A80" s="1" t="s">
        <v>331</v>
      </c>
      <c r="B80" s="1" t="s">
        <v>332</v>
      </c>
      <c r="C80" s="1" t="s">
        <v>333</v>
      </c>
      <c r="D80" s="1" t="s">
        <v>334</v>
      </c>
      <c r="E80" s="1" t="s">
        <v>17</v>
      </c>
      <c r="F80" s="1" t="s">
        <v>34</v>
      </c>
      <c r="G80" s="2">
        <v>300</v>
      </c>
      <c r="H80" s="3">
        <v>45470</v>
      </c>
    </row>
    <row r="81" spans="1:8" ht="22" customHeight="1" x14ac:dyDescent="0.35">
      <c r="A81" s="1" t="s">
        <v>335</v>
      </c>
      <c r="B81" s="1" t="s">
        <v>336</v>
      </c>
      <c r="C81" s="1" t="s">
        <v>337</v>
      </c>
      <c r="D81" s="1" t="s">
        <v>338</v>
      </c>
      <c r="E81" s="1" t="s">
        <v>24</v>
      </c>
      <c r="F81" s="1" t="s">
        <v>18</v>
      </c>
      <c r="G81" s="2">
        <v>450</v>
      </c>
      <c r="H81" s="3">
        <v>45471</v>
      </c>
    </row>
    <row r="82" spans="1:8" ht="22" customHeight="1" x14ac:dyDescent="0.35">
      <c r="A82" s="1" t="s">
        <v>339</v>
      </c>
      <c r="B82" s="1" t="s">
        <v>340</v>
      </c>
      <c r="C82" s="1" t="s">
        <v>341</v>
      </c>
      <c r="D82" s="1" t="s">
        <v>342</v>
      </c>
      <c r="E82" s="1" t="s">
        <v>17</v>
      </c>
      <c r="F82" s="1" t="s">
        <v>29</v>
      </c>
      <c r="G82" s="2">
        <v>700</v>
      </c>
      <c r="H82" s="3">
        <v>45474</v>
      </c>
    </row>
    <row r="83" spans="1:8" ht="22" customHeight="1" x14ac:dyDescent="0.35">
      <c r="A83" s="1" t="s">
        <v>343</v>
      </c>
      <c r="B83" s="1" t="s">
        <v>344</v>
      </c>
      <c r="C83" s="1" t="s">
        <v>345</v>
      </c>
      <c r="D83" s="1" t="s">
        <v>346</v>
      </c>
      <c r="E83" s="1" t="s">
        <v>24</v>
      </c>
      <c r="F83" s="1" t="s">
        <v>34</v>
      </c>
      <c r="G83" s="2">
        <v>300</v>
      </c>
      <c r="H83" s="3">
        <v>45476</v>
      </c>
    </row>
    <row r="84" spans="1:8" ht="22" customHeight="1" x14ac:dyDescent="0.35">
      <c r="A84" s="1" t="s">
        <v>347</v>
      </c>
      <c r="B84" s="1" t="s">
        <v>348</v>
      </c>
      <c r="C84" s="1" t="s">
        <v>349</v>
      </c>
      <c r="D84" s="1" t="s">
        <v>350</v>
      </c>
      <c r="E84" s="1" t="s">
        <v>17</v>
      </c>
      <c r="F84" s="1" t="s">
        <v>18</v>
      </c>
      <c r="G84" s="2">
        <v>450</v>
      </c>
      <c r="H84" s="3">
        <v>45484</v>
      </c>
    </row>
    <row r="85" spans="1:8" ht="22" customHeight="1" x14ac:dyDescent="0.35">
      <c r="A85" s="1" t="s">
        <v>351</v>
      </c>
      <c r="B85" s="1" t="s">
        <v>352</v>
      </c>
      <c r="C85" s="1" t="s">
        <v>353</v>
      </c>
      <c r="D85" s="1" t="s">
        <v>354</v>
      </c>
      <c r="E85" s="1" t="s">
        <v>24</v>
      </c>
      <c r="F85" s="1" t="s">
        <v>29</v>
      </c>
      <c r="G85" s="2">
        <v>700</v>
      </c>
      <c r="H85" s="3">
        <v>45506</v>
      </c>
    </row>
    <row r="86" spans="1:8" ht="22" customHeight="1" x14ac:dyDescent="0.35">
      <c r="A86" s="1" t="s">
        <v>355</v>
      </c>
      <c r="B86" s="1" t="s">
        <v>356</v>
      </c>
      <c r="C86" s="1" t="s">
        <v>357</v>
      </c>
      <c r="D86" s="1" t="s">
        <v>358</v>
      </c>
      <c r="E86" s="1" t="s">
        <v>17</v>
      </c>
      <c r="F86" s="1" t="s">
        <v>34</v>
      </c>
      <c r="G86" s="2">
        <v>300</v>
      </c>
      <c r="H86" s="3">
        <v>45513</v>
      </c>
    </row>
    <row r="87" spans="1:8" ht="22" customHeight="1" x14ac:dyDescent="0.35">
      <c r="A87" s="1" t="s">
        <v>359</v>
      </c>
      <c r="B87" s="1" t="s">
        <v>360</v>
      </c>
      <c r="C87" s="1" t="s">
        <v>361</v>
      </c>
      <c r="D87" s="1" t="s">
        <v>362</v>
      </c>
      <c r="E87" s="1" t="s">
        <v>24</v>
      </c>
      <c r="F87" s="1" t="s">
        <v>18</v>
      </c>
      <c r="G87" s="2">
        <v>450</v>
      </c>
      <c r="H87" s="3">
        <v>45518</v>
      </c>
    </row>
    <row r="88" spans="1:8" ht="22" customHeight="1" x14ac:dyDescent="0.35">
      <c r="A88" s="1" t="s">
        <v>363</v>
      </c>
      <c r="B88" s="1" t="s">
        <v>364</v>
      </c>
      <c r="C88" s="1" t="s">
        <v>365</v>
      </c>
      <c r="D88" s="1" t="s">
        <v>366</v>
      </c>
      <c r="E88" s="1" t="s">
        <v>17</v>
      </c>
      <c r="F88" s="1" t="s">
        <v>29</v>
      </c>
      <c r="G88" s="2">
        <v>700</v>
      </c>
      <c r="H88" s="3">
        <v>45526</v>
      </c>
    </row>
    <row r="89" spans="1:8" ht="22" customHeight="1" x14ac:dyDescent="0.35">
      <c r="A89" s="1" t="s">
        <v>367</v>
      </c>
      <c r="B89" s="1" t="s">
        <v>368</v>
      </c>
      <c r="C89" s="1" t="s">
        <v>369</v>
      </c>
      <c r="D89" s="1" t="s">
        <v>370</v>
      </c>
      <c r="E89" s="1" t="s">
        <v>24</v>
      </c>
      <c r="F89" s="1" t="s">
        <v>34</v>
      </c>
      <c r="G89" s="2">
        <v>300</v>
      </c>
      <c r="H89" s="3">
        <v>45530</v>
      </c>
    </row>
    <row r="90" spans="1:8" ht="22" customHeight="1" x14ac:dyDescent="0.35">
      <c r="A90" s="1" t="s">
        <v>371</v>
      </c>
      <c r="B90" s="1" t="s">
        <v>372</v>
      </c>
      <c r="C90" s="1" t="s">
        <v>373</v>
      </c>
      <c r="D90" s="1" t="s">
        <v>374</v>
      </c>
      <c r="E90" s="1" t="s">
        <v>17</v>
      </c>
      <c r="F90" s="1" t="s">
        <v>18</v>
      </c>
      <c r="G90" s="2">
        <v>450</v>
      </c>
      <c r="H90" s="3">
        <v>45533</v>
      </c>
    </row>
    <row r="91" spans="1:8" ht="22" customHeight="1" x14ac:dyDescent="0.35">
      <c r="A91" s="1" t="s">
        <v>375</v>
      </c>
      <c r="B91" s="1" t="s">
        <v>376</v>
      </c>
      <c r="C91" s="1" t="s">
        <v>377</v>
      </c>
      <c r="D91" s="1" t="s">
        <v>378</v>
      </c>
      <c r="E91" s="1" t="s">
        <v>24</v>
      </c>
      <c r="F91" s="1" t="s">
        <v>29</v>
      </c>
      <c r="G91" s="2">
        <v>700</v>
      </c>
      <c r="H91" s="3">
        <v>45534</v>
      </c>
    </row>
    <row r="92" spans="1:8" ht="22" customHeight="1" x14ac:dyDescent="0.35">
      <c r="A92" s="1" t="s">
        <v>379</v>
      </c>
      <c r="B92" s="1" t="s">
        <v>380</v>
      </c>
      <c r="C92" s="1" t="s">
        <v>381</v>
      </c>
      <c r="D92" s="1" t="s">
        <v>382</v>
      </c>
      <c r="E92" s="1" t="s">
        <v>17</v>
      </c>
      <c r="F92" s="1" t="s">
        <v>34</v>
      </c>
      <c r="G92" s="2">
        <v>300</v>
      </c>
      <c r="H92" s="3">
        <v>45560</v>
      </c>
    </row>
    <row r="93" spans="1:8" ht="22" customHeight="1" x14ac:dyDescent="0.35">
      <c r="A93" s="1" t="s">
        <v>383</v>
      </c>
      <c r="B93" s="1" t="s">
        <v>384</v>
      </c>
      <c r="C93" s="1" t="s">
        <v>385</v>
      </c>
      <c r="D93" s="1" t="s">
        <v>386</v>
      </c>
      <c r="E93" s="1" t="s">
        <v>24</v>
      </c>
      <c r="F93" s="1" t="s">
        <v>18</v>
      </c>
      <c r="G93" s="2">
        <v>450</v>
      </c>
      <c r="H93" s="3">
        <v>45562</v>
      </c>
    </row>
    <row r="94" spans="1:8" ht="22" customHeight="1" x14ac:dyDescent="0.35">
      <c r="A94" s="1" t="s">
        <v>387</v>
      </c>
      <c r="B94" s="1" t="s">
        <v>388</v>
      </c>
      <c r="C94" s="1" t="s">
        <v>389</v>
      </c>
      <c r="D94" s="1" t="s">
        <v>390</v>
      </c>
      <c r="E94" s="1" t="s">
        <v>17</v>
      </c>
      <c r="F94" s="1" t="s">
        <v>29</v>
      </c>
      <c r="G94" s="2">
        <v>700</v>
      </c>
      <c r="H94" s="3">
        <v>45566</v>
      </c>
    </row>
    <row r="95" spans="1:8" ht="22" customHeight="1" x14ac:dyDescent="0.35">
      <c r="A95" s="1" t="s">
        <v>391</v>
      </c>
      <c r="B95" s="1" t="s">
        <v>392</v>
      </c>
      <c r="C95" s="1" t="s">
        <v>393</v>
      </c>
      <c r="D95" s="1" t="s">
        <v>394</v>
      </c>
      <c r="E95" s="1" t="s">
        <v>24</v>
      </c>
      <c r="F95" s="1" t="s">
        <v>34</v>
      </c>
      <c r="G95" s="2">
        <v>300</v>
      </c>
      <c r="H95" s="3">
        <v>45571</v>
      </c>
    </row>
    <row r="96" spans="1:8" ht="22" customHeight="1" x14ac:dyDescent="0.35">
      <c r="A96" s="1" t="s">
        <v>395</v>
      </c>
      <c r="B96" s="1" t="s">
        <v>396</v>
      </c>
      <c r="C96" s="1" t="s">
        <v>397</v>
      </c>
      <c r="D96" s="1" t="s">
        <v>398</v>
      </c>
      <c r="E96" s="1" t="s">
        <v>17</v>
      </c>
      <c r="F96" s="1" t="s">
        <v>18</v>
      </c>
      <c r="G96" s="2">
        <v>450</v>
      </c>
      <c r="H96" s="3">
        <v>45581</v>
      </c>
    </row>
    <row r="97" spans="1:8" ht="22" customHeight="1" x14ac:dyDescent="0.35">
      <c r="A97" s="1" t="s">
        <v>399</v>
      </c>
      <c r="B97" s="1" t="s">
        <v>400</v>
      </c>
      <c r="C97" s="1" t="s">
        <v>401</v>
      </c>
      <c r="D97" s="1" t="s">
        <v>402</v>
      </c>
      <c r="E97" s="1" t="s">
        <v>24</v>
      </c>
      <c r="F97" s="1" t="s">
        <v>29</v>
      </c>
      <c r="G97" s="2">
        <v>700</v>
      </c>
      <c r="H97" s="3">
        <v>45588</v>
      </c>
    </row>
    <row r="98" spans="1:8" ht="22" customHeight="1" x14ac:dyDescent="0.35">
      <c r="A98" s="1" t="s">
        <v>403</v>
      </c>
      <c r="B98" s="1" t="s">
        <v>404</v>
      </c>
      <c r="C98" s="1" t="s">
        <v>405</v>
      </c>
      <c r="D98" s="1" t="s">
        <v>406</v>
      </c>
      <c r="E98" s="1" t="s">
        <v>17</v>
      </c>
      <c r="F98" s="1" t="s">
        <v>34</v>
      </c>
      <c r="G98" s="2">
        <v>300</v>
      </c>
      <c r="H98" s="3">
        <v>45590</v>
      </c>
    </row>
    <row r="99" spans="1:8" ht="22" customHeight="1" x14ac:dyDescent="0.35">
      <c r="A99" s="1" t="s">
        <v>407</v>
      </c>
      <c r="B99" s="1" t="s">
        <v>408</v>
      </c>
      <c r="C99" s="1" t="s">
        <v>409</v>
      </c>
      <c r="D99" s="1" t="s">
        <v>410</v>
      </c>
      <c r="E99" s="1" t="s">
        <v>24</v>
      </c>
      <c r="F99" s="1" t="s">
        <v>18</v>
      </c>
      <c r="G99" s="2">
        <v>450</v>
      </c>
      <c r="H99" s="3">
        <v>45593</v>
      </c>
    </row>
    <row r="100" spans="1:8" ht="22" customHeight="1" x14ac:dyDescent="0.35">
      <c r="A100" s="1" t="s">
        <v>411</v>
      </c>
      <c r="B100" s="1" t="s">
        <v>412</v>
      </c>
      <c r="C100" s="1" t="s">
        <v>413</v>
      </c>
      <c r="D100" s="1" t="s">
        <v>414</v>
      </c>
      <c r="E100" s="1" t="s">
        <v>17</v>
      </c>
      <c r="F100" s="1" t="s">
        <v>29</v>
      </c>
      <c r="G100" s="2">
        <v>700</v>
      </c>
      <c r="H100" s="3">
        <v>45598</v>
      </c>
    </row>
    <row r="101" spans="1:8" ht="22" customHeight="1" x14ac:dyDescent="0.35">
      <c r="A101" s="1" t="s">
        <v>415</v>
      </c>
      <c r="B101" s="1" t="s">
        <v>416</v>
      </c>
      <c r="C101" s="1" t="s">
        <v>417</v>
      </c>
      <c r="D101" s="1" t="s">
        <v>418</v>
      </c>
      <c r="E101" s="1" t="s">
        <v>24</v>
      </c>
      <c r="F101" s="1" t="s">
        <v>34</v>
      </c>
      <c r="G101" s="2">
        <v>300</v>
      </c>
      <c r="H101" s="3">
        <v>45605</v>
      </c>
    </row>
  </sheetData>
  <pageMargins left="0.7" right="0.7" top="0.75" bottom="0.75" header="0.3" footer="0.3"/>
  <pageSetup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35"/>
  <sheetViews>
    <sheetView showGridLines="0" zoomScale="85" zoomScaleNormal="85" workbookViewId="0"/>
  </sheetViews>
  <sheetFormatPr defaultRowHeight="14.5" x14ac:dyDescent="0.35"/>
  <cols>
    <col min="1" max="1" width="26" customWidth="1"/>
    <col min="2" max="10" width="12" customWidth="1"/>
  </cols>
  <sheetData>
    <row r="1" spans="1:10" ht="24" customHeight="1" x14ac:dyDescent="0.35">
      <c r="A1" s="10" t="s">
        <v>501</v>
      </c>
      <c r="B1" s="4"/>
      <c r="C1" s="4"/>
      <c r="D1" s="4"/>
      <c r="E1" s="4"/>
      <c r="F1" s="4"/>
      <c r="G1" s="4"/>
      <c r="H1" s="4"/>
      <c r="I1" s="4"/>
      <c r="J1" s="4"/>
    </row>
    <row r="2" spans="1:10" ht="24" customHeight="1" x14ac:dyDescent="0.35">
      <c r="A2" s="4"/>
      <c r="B2" s="4"/>
      <c r="C2" s="4"/>
      <c r="D2" s="4"/>
      <c r="E2" s="4"/>
      <c r="F2" s="4"/>
      <c r="G2" s="4"/>
      <c r="H2" s="4"/>
      <c r="I2" s="4"/>
      <c r="J2" s="4"/>
    </row>
    <row r="3" spans="1:10" ht="24" customHeight="1" x14ac:dyDescent="0.35">
      <c r="A3" s="4"/>
      <c r="B3" s="4"/>
      <c r="C3" s="4"/>
      <c r="D3" s="4"/>
      <c r="E3" s="4"/>
      <c r="F3" s="4"/>
      <c r="G3" s="4"/>
      <c r="H3" s="4"/>
      <c r="I3" s="4"/>
      <c r="J3" s="4"/>
    </row>
    <row r="4" spans="1:10" ht="22" customHeight="1" x14ac:dyDescent="0.35">
      <c r="A4" s="1"/>
      <c r="B4" s="1"/>
      <c r="C4" s="1"/>
      <c r="D4" s="1"/>
      <c r="E4" s="1"/>
      <c r="F4" s="1"/>
      <c r="G4" s="1"/>
      <c r="H4" s="1"/>
      <c r="I4" s="1"/>
      <c r="J4" s="1"/>
    </row>
    <row r="5" spans="1:10" ht="28" customHeight="1" x14ac:dyDescent="0.35">
      <c r="A5" s="1" t="s">
        <v>502</v>
      </c>
      <c r="B5" s="30" t="s">
        <v>503</v>
      </c>
      <c r="C5" s="30"/>
      <c r="D5" s="30"/>
      <c r="E5" s="30"/>
      <c r="F5" s="30"/>
      <c r="G5" s="30"/>
      <c r="H5" s="30"/>
      <c r="I5" s="30"/>
      <c r="J5" s="30"/>
    </row>
    <row r="6" spans="1:10" ht="28" customHeight="1" x14ac:dyDescent="0.35">
      <c r="A6" s="1"/>
      <c r="B6" s="30"/>
      <c r="C6" s="30"/>
      <c r="D6" s="30"/>
      <c r="E6" s="30"/>
      <c r="F6" s="30"/>
      <c r="G6" s="30"/>
      <c r="H6" s="30"/>
      <c r="I6" s="30"/>
      <c r="J6" s="30"/>
    </row>
    <row r="7" spans="1:10" ht="28" customHeight="1" x14ac:dyDescent="0.35">
      <c r="A7" s="1" t="s">
        <v>504</v>
      </c>
      <c r="B7" s="30" t="s">
        <v>505</v>
      </c>
      <c r="C7" s="30"/>
      <c r="D7" s="30"/>
      <c r="E7" s="30"/>
      <c r="F7" s="30"/>
      <c r="G7" s="30"/>
      <c r="H7" s="30"/>
      <c r="I7" s="30"/>
      <c r="J7" s="30"/>
    </row>
    <row r="8" spans="1:10" ht="28" customHeight="1" x14ac:dyDescent="0.35">
      <c r="A8" s="1"/>
      <c r="B8" s="30"/>
      <c r="C8" s="30"/>
      <c r="D8" s="30"/>
      <c r="E8" s="30"/>
      <c r="F8" s="30"/>
      <c r="G8" s="30"/>
      <c r="H8" s="30"/>
      <c r="I8" s="30"/>
      <c r="J8" s="30"/>
    </row>
    <row r="9" spans="1:10" ht="28" customHeight="1" x14ac:dyDescent="0.35">
      <c r="A9" s="1" t="s">
        <v>506</v>
      </c>
      <c r="B9" s="30" t="s">
        <v>507</v>
      </c>
      <c r="C9" s="30"/>
      <c r="D9" s="30"/>
      <c r="E9" s="30"/>
      <c r="F9" s="30"/>
      <c r="G9" s="30"/>
      <c r="H9" s="30"/>
      <c r="I9" s="30"/>
      <c r="J9" s="30"/>
    </row>
    <row r="10" spans="1:10" ht="28" customHeight="1" x14ac:dyDescent="0.35">
      <c r="A10" s="1"/>
      <c r="B10" s="30"/>
      <c r="C10" s="30"/>
      <c r="D10" s="30"/>
      <c r="E10" s="30"/>
      <c r="F10" s="30"/>
      <c r="G10" s="30"/>
      <c r="H10" s="30"/>
      <c r="I10" s="30"/>
      <c r="J10" s="30"/>
    </row>
    <row r="11" spans="1:10" ht="28" customHeight="1" x14ac:dyDescent="0.35">
      <c r="A11" s="1" t="s">
        <v>508</v>
      </c>
      <c r="B11" s="30" t="s">
        <v>509</v>
      </c>
      <c r="C11" s="30"/>
      <c r="D11" s="30"/>
      <c r="E11" s="30"/>
      <c r="F11" s="30"/>
      <c r="G11" s="30"/>
      <c r="H11" s="30"/>
      <c r="I11" s="30"/>
      <c r="J11" s="30"/>
    </row>
    <row r="12" spans="1:10" ht="28" customHeight="1" x14ac:dyDescent="0.35">
      <c r="A12" s="1"/>
      <c r="B12" s="30"/>
      <c r="C12" s="30"/>
      <c r="D12" s="30"/>
      <c r="E12" s="30"/>
      <c r="F12" s="30"/>
      <c r="G12" s="30"/>
      <c r="H12" s="30"/>
      <c r="I12" s="30"/>
      <c r="J12" s="30"/>
    </row>
    <row r="13" spans="1:10" ht="28" customHeight="1" x14ac:dyDescent="0.35">
      <c r="A13" s="1" t="s">
        <v>468</v>
      </c>
      <c r="B13" s="30" t="s">
        <v>510</v>
      </c>
      <c r="C13" s="30"/>
      <c r="D13" s="30"/>
      <c r="E13" s="30"/>
      <c r="F13" s="30"/>
      <c r="G13" s="30"/>
      <c r="H13" s="30"/>
      <c r="I13" s="30"/>
      <c r="J13" s="30"/>
    </row>
    <row r="14" spans="1:10" ht="28" customHeight="1" x14ac:dyDescent="0.35">
      <c r="A14" s="1"/>
      <c r="B14" s="30"/>
      <c r="C14" s="30"/>
      <c r="D14" s="30"/>
      <c r="E14" s="30"/>
      <c r="F14" s="30"/>
      <c r="G14" s="30"/>
      <c r="H14" s="30"/>
      <c r="I14" s="30"/>
      <c r="J14" s="30"/>
    </row>
    <row r="15" spans="1:10" ht="28" customHeight="1" x14ac:dyDescent="0.35">
      <c r="A15" s="1" t="s">
        <v>511</v>
      </c>
      <c r="B15" s="30" t="s">
        <v>512</v>
      </c>
      <c r="C15" s="30"/>
      <c r="D15" s="30"/>
      <c r="E15" s="30"/>
      <c r="F15" s="30"/>
      <c r="G15" s="30"/>
      <c r="H15" s="30"/>
      <c r="I15" s="30"/>
      <c r="J15" s="30"/>
    </row>
    <row r="16" spans="1:10" ht="28" customHeight="1" x14ac:dyDescent="0.35">
      <c r="A16" s="1"/>
      <c r="B16" s="30"/>
      <c r="C16" s="30"/>
      <c r="D16" s="30"/>
      <c r="E16" s="30"/>
      <c r="F16" s="30"/>
      <c r="G16" s="30"/>
      <c r="H16" s="30"/>
      <c r="I16" s="30"/>
      <c r="J16" s="30"/>
    </row>
    <row r="17" spans="1:10" ht="28" customHeight="1" x14ac:dyDescent="0.35">
      <c r="A17" s="1" t="s">
        <v>513</v>
      </c>
      <c r="B17" s="30" t="s">
        <v>514</v>
      </c>
      <c r="C17" s="30"/>
      <c r="D17" s="30"/>
      <c r="E17" s="30"/>
      <c r="F17" s="30"/>
      <c r="G17" s="30"/>
      <c r="H17" s="30"/>
      <c r="I17" s="30"/>
      <c r="J17" s="30"/>
    </row>
    <row r="18" spans="1:10" ht="28" customHeight="1" x14ac:dyDescent="0.35">
      <c r="A18" s="1"/>
      <c r="B18" s="30"/>
      <c r="C18" s="30"/>
      <c r="D18" s="30"/>
      <c r="E18" s="30"/>
      <c r="F18" s="30"/>
      <c r="G18" s="30"/>
      <c r="H18" s="30"/>
      <c r="I18" s="30"/>
      <c r="J18" s="30"/>
    </row>
    <row r="19" spans="1:10" ht="28" customHeight="1" x14ac:dyDescent="0.35">
      <c r="A19" s="1" t="s">
        <v>515</v>
      </c>
      <c r="B19" s="30" t="s">
        <v>516</v>
      </c>
      <c r="C19" s="30"/>
      <c r="D19" s="30"/>
      <c r="E19" s="30"/>
      <c r="F19" s="30"/>
      <c r="G19" s="30"/>
      <c r="H19" s="30"/>
      <c r="I19" s="30"/>
      <c r="J19" s="30"/>
    </row>
    <row r="20" spans="1:10" ht="28" customHeight="1" x14ac:dyDescent="0.35">
      <c r="A20" s="1"/>
      <c r="B20" s="30"/>
      <c r="C20" s="30"/>
      <c r="D20" s="30"/>
      <c r="E20" s="30"/>
      <c r="F20" s="30"/>
      <c r="G20" s="30"/>
      <c r="H20" s="30"/>
      <c r="I20" s="30"/>
      <c r="J20" s="30"/>
    </row>
    <row r="21" spans="1:10" ht="28" customHeight="1" x14ac:dyDescent="0.35">
      <c r="A21" s="1" t="s">
        <v>517</v>
      </c>
      <c r="B21" s="30" t="s">
        <v>530</v>
      </c>
      <c r="C21" s="30"/>
      <c r="D21" s="30"/>
      <c r="E21" s="30"/>
      <c r="F21" s="30"/>
      <c r="G21" s="30"/>
      <c r="H21" s="30"/>
      <c r="I21" s="30"/>
      <c r="J21" s="30"/>
    </row>
    <row r="22" spans="1:10" ht="28" customHeight="1" x14ac:dyDescent="0.35">
      <c r="A22" s="1"/>
      <c r="B22" s="30"/>
      <c r="C22" s="30"/>
      <c r="D22" s="30"/>
      <c r="E22" s="30"/>
      <c r="F22" s="30"/>
      <c r="G22" s="30"/>
      <c r="H22" s="30"/>
      <c r="I22" s="30"/>
      <c r="J22" s="30"/>
    </row>
    <row r="23" spans="1:10" ht="28" customHeight="1" x14ac:dyDescent="0.35">
      <c r="A23" s="1" t="s">
        <v>518</v>
      </c>
      <c r="B23" s="30" t="s">
        <v>519</v>
      </c>
      <c r="C23" s="30"/>
      <c r="D23" s="30"/>
      <c r="E23" s="30"/>
      <c r="F23" s="30"/>
      <c r="G23" s="30"/>
      <c r="H23" s="30"/>
      <c r="I23" s="30"/>
      <c r="J23" s="30"/>
    </row>
    <row r="24" spans="1:10" ht="28" customHeight="1" x14ac:dyDescent="0.35">
      <c r="A24" s="1"/>
      <c r="B24" s="30"/>
      <c r="C24" s="30"/>
      <c r="D24" s="30"/>
      <c r="E24" s="30"/>
      <c r="F24" s="30"/>
      <c r="G24" s="30"/>
      <c r="H24" s="30"/>
      <c r="I24" s="30"/>
      <c r="J24" s="30"/>
    </row>
    <row r="25" spans="1:10" ht="28" customHeight="1" x14ac:dyDescent="0.35">
      <c r="A25" s="1" t="s">
        <v>520</v>
      </c>
      <c r="B25" s="30" t="s">
        <v>521</v>
      </c>
      <c r="C25" s="30"/>
      <c r="D25" s="30"/>
      <c r="E25" s="30"/>
      <c r="F25" s="30"/>
      <c r="G25" s="30"/>
      <c r="H25" s="30"/>
      <c r="I25" s="30"/>
      <c r="J25" s="30"/>
    </row>
    <row r="26" spans="1:10" ht="28" customHeight="1" x14ac:dyDescent="0.35">
      <c r="A26" s="1"/>
      <c r="B26" s="30"/>
      <c r="C26" s="30"/>
      <c r="D26" s="30"/>
      <c r="E26" s="30"/>
      <c r="F26" s="30"/>
      <c r="G26" s="30"/>
      <c r="H26" s="30"/>
      <c r="I26" s="30"/>
      <c r="J26" s="30"/>
    </row>
    <row r="27" spans="1:10" ht="28" customHeight="1" x14ac:dyDescent="0.35">
      <c r="A27" s="1" t="s">
        <v>522</v>
      </c>
      <c r="B27" s="30" t="s">
        <v>529</v>
      </c>
      <c r="C27" s="30"/>
      <c r="D27" s="30"/>
      <c r="E27" s="30"/>
      <c r="F27" s="30"/>
      <c r="G27" s="30"/>
      <c r="H27" s="30"/>
      <c r="I27" s="30"/>
      <c r="J27" s="30"/>
    </row>
    <row r="28" spans="1:10" ht="28" customHeight="1" x14ac:dyDescent="0.35">
      <c r="A28" s="1"/>
      <c r="B28" s="30"/>
      <c r="C28" s="30"/>
      <c r="D28" s="30"/>
      <c r="E28" s="30"/>
      <c r="F28" s="30"/>
      <c r="G28" s="30"/>
      <c r="H28" s="30"/>
      <c r="I28" s="30"/>
      <c r="J28" s="30"/>
    </row>
    <row r="29" spans="1:10" ht="28" customHeight="1" x14ac:dyDescent="0.35">
      <c r="A29" s="1" t="s">
        <v>523</v>
      </c>
      <c r="B29" s="30" t="s">
        <v>524</v>
      </c>
      <c r="C29" s="30"/>
      <c r="D29" s="30"/>
      <c r="E29" s="30"/>
      <c r="F29" s="30"/>
      <c r="G29" s="30"/>
      <c r="H29" s="30"/>
      <c r="I29" s="30"/>
      <c r="J29" s="30"/>
    </row>
    <row r="30" spans="1:10" ht="28" customHeight="1" x14ac:dyDescent="0.35">
      <c r="A30" s="1"/>
      <c r="B30" s="30"/>
      <c r="C30" s="30"/>
      <c r="D30" s="30"/>
      <c r="E30" s="30"/>
      <c r="F30" s="30"/>
      <c r="G30" s="30"/>
      <c r="H30" s="30"/>
      <c r="I30" s="30"/>
      <c r="J30" s="30"/>
    </row>
    <row r="31" spans="1:10" ht="22" customHeight="1" x14ac:dyDescent="0.35">
      <c r="A31" s="1"/>
      <c r="B31" s="1"/>
      <c r="C31" s="1"/>
      <c r="D31" s="1"/>
      <c r="E31" s="1"/>
      <c r="F31" s="1"/>
      <c r="G31" s="1"/>
      <c r="H31" s="1"/>
      <c r="I31" s="1"/>
      <c r="J31" s="1"/>
    </row>
    <row r="32" spans="1:10" ht="22" customHeight="1" x14ac:dyDescent="0.35">
      <c r="A32" s="1"/>
      <c r="B32" s="1"/>
      <c r="C32" s="1"/>
      <c r="D32" s="1"/>
      <c r="E32" s="1"/>
      <c r="F32" s="1"/>
      <c r="G32" s="1"/>
      <c r="H32" s="1"/>
      <c r="I32" s="1"/>
      <c r="J32" s="1"/>
    </row>
    <row r="33" spans="1:10" ht="22" customHeight="1" x14ac:dyDescent="0.35">
      <c r="A33" s="1"/>
      <c r="B33" s="1"/>
      <c r="C33" s="1"/>
      <c r="D33" s="1"/>
      <c r="E33" s="1"/>
      <c r="F33" s="1"/>
      <c r="G33" s="1"/>
      <c r="H33" s="1"/>
      <c r="I33" s="1"/>
      <c r="J33" s="1"/>
    </row>
    <row r="34" spans="1:10" ht="22" customHeight="1" x14ac:dyDescent="0.35">
      <c r="A34" s="1"/>
      <c r="B34" s="1"/>
      <c r="C34" s="1"/>
      <c r="D34" s="1"/>
      <c r="E34" s="1"/>
      <c r="F34" s="1"/>
      <c r="G34" s="1"/>
      <c r="H34" s="1"/>
      <c r="I34" s="1"/>
      <c r="J34" s="1"/>
    </row>
    <row r="35" spans="1:10" ht="22" customHeight="1" x14ac:dyDescent="0.35">
      <c r="A35" s="1"/>
      <c r="B35" s="1"/>
      <c r="C35" s="1"/>
      <c r="D35" s="1"/>
      <c r="E35" s="1"/>
      <c r="F35" s="1"/>
      <c r="G35" s="1"/>
      <c r="H35" s="1"/>
      <c r="I35" s="1"/>
      <c r="J35" s="1"/>
    </row>
  </sheetData>
  <mergeCells count="13">
    <mergeCell ref="B25:J26"/>
    <mergeCell ref="B27:J28"/>
    <mergeCell ref="B29:J30"/>
    <mergeCell ref="B15:J16"/>
    <mergeCell ref="B17:J18"/>
    <mergeCell ref="B19:J20"/>
    <mergeCell ref="B21:J22"/>
    <mergeCell ref="B23:J24"/>
    <mergeCell ref="B5:J6"/>
    <mergeCell ref="B7:J8"/>
    <mergeCell ref="B9:J10"/>
    <mergeCell ref="B11:J12"/>
    <mergeCell ref="B13:J14"/>
  </mergeCells>
  <pageMargins left="0.7" right="0.7" top="0.75" bottom="0.75" header="0.3" footer="0.3"/>
  <pageSetup scale="5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5"/>
  <sheetViews>
    <sheetView showGridLines="0" zoomScale="85" zoomScaleNormal="85" workbookViewId="0"/>
  </sheetViews>
  <sheetFormatPr defaultRowHeight="14.5" x14ac:dyDescent="0.35"/>
  <cols>
    <col min="1" max="14" width="15" customWidth="1"/>
  </cols>
  <sheetData>
    <row r="1" spans="1:14" ht="24" customHeight="1" x14ac:dyDescent="0.35">
      <c r="A1" s="10" t="s">
        <v>494</v>
      </c>
      <c r="B1" s="4"/>
      <c r="C1" s="4"/>
      <c r="D1" s="4"/>
      <c r="E1" s="4"/>
      <c r="F1" s="4"/>
      <c r="G1" s="4"/>
      <c r="H1" s="4"/>
      <c r="I1" s="4"/>
      <c r="J1" s="4"/>
      <c r="K1" s="4"/>
      <c r="L1" s="4"/>
      <c r="M1" s="4"/>
      <c r="N1" s="4"/>
    </row>
    <row r="2" spans="1:14" ht="24" customHeight="1" x14ac:dyDescent="0.35">
      <c r="A2" s="4"/>
      <c r="B2" s="4"/>
      <c r="C2" s="4"/>
      <c r="D2" s="4"/>
      <c r="E2" s="4"/>
      <c r="F2" s="4"/>
      <c r="G2" s="4"/>
      <c r="H2" s="4"/>
      <c r="I2" s="4"/>
      <c r="J2" s="4"/>
      <c r="K2" s="4"/>
      <c r="L2" s="4"/>
      <c r="M2" s="4"/>
      <c r="N2" s="4"/>
    </row>
    <row r="3" spans="1:14" ht="24" customHeight="1" x14ac:dyDescent="0.35">
      <c r="A3" s="4"/>
      <c r="B3" s="4"/>
      <c r="C3" s="4"/>
      <c r="D3" s="4"/>
      <c r="E3" s="4"/>
      <c r="F3" s="4"/>
      <c r="G3" s="4"/>
      <c r="H3" s="4"/>
      <c r="I3" s="4"/>
      <c r="J3" s="4"/>
      <c r="K3" s="4"/>
      <c r="L3" s="4"/>
      <c r="M3" s="4"/>
      <c r="N3" s="4"/>
    </row>
    <row r="4" spans="1:14" ht="22" customHeight="1" x14ac:dyDescent="0.35">
      <c r="A4" s="1"/>
      <c r="B4" s="1"/>
      <c r="C4" s="1"/>
      <c r="D4" s="1"/>
      <c r="E4" s="1"/>
      <c r="F4" s="1"/>
      <c r="G4" s="1"/>
      <c r="H4" s="1"/>
      <c r="I4" s="1"/>
      <c r="J4" s="1"/>
      <c r="K4" s="1"/>
      <c r="L4" s="1"/>
      <c r="M4" s="1"/>
      <c r="N4" s="1"/>
    </row>
    <row r="5" spans="1:14" ht="22" customHeight="1" x14ac:dyDescent="0.35">
      <c r="A5" s="1" t="s">
        <v>495</v>
      </c>
      <c r="B5" s="1" t="s">
        <v>496</v>
      </c>
      <c r="C5" s="1" t="s">
        <v>497</v>
      </c>
      <c r="D5" s="1"/>
      <c r="E5" s="1"/>
      <c r="F5" s="1"/>
      <c r="G5" s="1"/>
      <c r="H5" s="1" t="s">
        <v>495</v>
      </c>
      <c r="I5" s="1" t="s">
        <v>496</v>
      </c>
      <c r="J5" s="1" t="s">
        <v>497</v>
      </c>
      <c r="K5" s="1"/>
      <c r="L5" s="1"/>
      <c r="M5" s="1"/>
      <c r="N5" s="1"/>
    </row>
    <row r="6" spans="1:14" ht="22" customHeight="1" x14ac:dyDescent="0.35">
      <c r="A6" s="1" t="s">
        <v>18</v>
      </c>
      <c r="B6" s="1">
        <f>IFERROR(GETPIVOTDATA("Ticket revenue",'Pivot Support'!$A$1,"Session Preference",A6),0)</f>
        <v>15300</v>
      </c>
      <c r="C6" s="1">
        <f>IFERROR(GETPIVOTDATA("Attendee count",'Pivot Support'!$A$1,"Session Preference",A6),0)</f>
        <v>34</v>
      </c>
      <c r="D6" s="1"/>
      <c r="E6" s="1"/>
      <c r="F6" s="1"/>
      <c r="G6" s="1"/>
      <c r="H6" s="1" t="s">
        <v>18</v>
      </c>
      <c r="I6" s="1">
        <f>IFERROR(GETPIVOTDATA("Ticket revenue",'Pivot Support'!$K$1,"Session Preference",H6),0)</f>
        <v>15300</v>
      </c>
      <c r="J6" s="1">
        <f>IFERROR(GETPIVOTDATA("Attendee count",'Pivot Support'!$K$1,"Session Preference",H6),0)</f>
        <v>34</v>
      </c>
      <c r="K6" s="1"/>
      <c r="L6" s="1"/>
      <c r="M6" s="1"/>
      <c r="N6" s="1"/>
    </row>
    <row r="7" spans="1:14" ht="22" customHeight="1" x14ac:dyDescent="0.35">
      <c r="A7" s="1" t="s">
        <v>29</v>
      </c>
      <c r="B7" s="1">
        <f>IFERROR(GETPIVOTDATA("Ticket revenue",'Pivot Support'!$A$1,"Session Preference",A7),0)</f>
        <v>23100</v>
      </c>
      <c r="C7" s="1">
        <f>IFERROR(GETPIVOTDATA("Attendee count",'Pivot Support'!$A$1,"Session Preference",A7),0)</f>
        <v>33</v>
      </c>
      <c r="D7" s="1"/>
      <c r="E7" s="1"/>
      <c r="F7" s="1"/>
      <c r="G7" s="1"/>
      <c r="H7" s="1" t="s">
        <v>29</v>
      </c>
      <c r="I7" s="1">
        <f>IFERROR(GETPIVOTDATA("Ticket revenue",'Pivot Support'!$K$1,"Session Preference",H7),0)</f>
        <v>23100</v>
      </c>
      <c r="J7" s="1">
        <f>IFERROR(GETPIVOTDATA("Attendee count",'Pivot Support'!$K$1,"Session Preference",H7),0)</f>
        <v>33</v>
      </c>
      <c r="K7" s="1"/>
      <c r="L7" s="1"/>
      <c r="M7" s="1"/>
      <c r="N7" s="1"/>
    </row>
    <row r="8" spans="1:14" ht="22" customHeight="1" x14ac:dyDescent="0.35">
      <c r="A8" s="1" t="s">
        <v>34</v>
      </c>
      <c r="B8" s="1">
        <f>IFERROR(GETPIVOTDATA("Ticket revenue",'Pivot Support'!$A$1,"Session Preference",A8),0)</f>
        <v>9900</v>
      </c>
      <c r="C8" s="1">
        <f>IFERROR(GETPIVOTDATA("Attendee count",'Pivot Support'!$A$1,"Session Preference",A8),0)</f>
        <v>33</v>
      </c>
      <c r="D8" s="1"/>
      <c r="E8" s="1"/>
      <c r="F8" s="1"/>
      <c r="G8" s="1"/>
      <c r="H8" s="1" t="s">
        <v>34</v>
      </c>
      <c r="I8" s="1">
        <f>IFERROR(GETPIVOTDATA("Ticket revenue",'Pivot Support'!$K$1,"Session Preference",H8),0)</f>
        <v>9900</v>
      </c>
      <c r="J8" s="1">
        <f>IFERROR(GETPIVOTDATA("Attendee count",'Pivot Support'!$K$1,"Session Preference",H8),0)</f>
        <v>33</v>
      </c>
      <c r="K8" s="1"/>
      <c r="L8" s="1"/>
      <c r="M8" s="1"/>
      <c r="N8" s="1"/>
    </row>
    <row r="9" spans="1:14" ht="22" customHeight="1" x14ac:dyDescent="0.35">
      <c r="A9" s="1"/>
      <c r="B9" s="1"/>
      <c r="C9" s="1"/>
      <c r="D9" s="1"/>
      <c r="E9" s="1"/>
      <c r="F9" s="1"/>
      <c r="G9" s="1"/>
      <c r="H9" s="1"/>
      <c r="I9" s="1"/>
      <c r="J9" s="1"/>
      <c r="K9" s="1"/>
      <c r="L9" s="1"/>
      <c r="M9" s="1"/>
      <c r="N9" s="1"/>
    </row>
    <row r="10" spans="1:14" ht="22" customHeight="1" x14ac:dyDescent="0.35">
      <c r="A10" s="1"/>
      <c r="B10" s="1"/>
      <c r="C10" s="1"/>
      <c r="D10" s="1"/>
      <c r="E10" s="1"/>
      <c r="F10" s="1"/>
      <c r="G10" s="1"/>
      <c r="H10" s="1"/>
      <c r="I10" s="1"/>
      <c r="J10" s="1"/>
      <c r="K10" s="1"/>
      <c r="L10" s="1"/>
      <c r="M10" s="1"/>
      <c r="N10" s="1"/>
    </row>
    <row r="11" spans="1:14" ht="22" customHeight="1" x14ac:dyDescent="0.35">
      <c r="A11" s="1" t="s">
        <v>498</v>
      </c>
      <c r="B11" s="1" t="s">
        <v>497</v>
      </c>
      <c r="C11" s="1"/>
      <c r="D11" s="1"/>
      <c r="E11" s="1"/>
      <c r="F11" s="1"/>
      <c r="G11" s="1"/>
      <c r="H11" s="1" t="s">
        <v>498</v>
      </c>
      <c r="I11" s="1" t="s">
        <v>497</v>
      </c>
      <c r="J11" s="1"/>
      <c r="K11" s="1"/>
      <c r="L11" s="1"/>
      <c r="M11" s="1"/>
      <c r="N11" s="1"/>
    </row>
    <row r="12" spans="1:14" ht="22" customHeight="1" x14ac:dyDescent="0.35">
      <c r="A12" s="1" t="s">
        <v>17</v>
      </c>
      <c r="B12" s="1">
        <f>IFERROR(GETPIVOTDATA("Attendee count",'Pivot Support'!$A$12,"Attendance Type",A12),0)</f>
        <v>50</v>
      </c>
      <c r="C12" s="1"/>
      <c r="D12" s="1"/>
      <c r="E12" s="1"/>
      <c r="F12" s="1"/>
      <c r="G12" s="1"/>
      <c r="H12" s="1" t="s">
        <v>17</v>
      </c>
      <c r="I12" s="1">
        <f>IFERROR(GETPIVOTDATA("Attendee count",'Pivot Support'!$K$12,"Attendance Type",H12),0)</f>
        <v>50</v>
      </c>
      <c r="J12" s="1"/>
      <c r="K12" s="1"/>
      <c r="L12" s="1"/>
      <c r="M12" s="1"/>
      <c r="N12" s="1"/>
    </row>
    <row r="13" spans="1:14" ht="22" customHeight="1" x14ac:dyDescent="0.35">
      <c r="A13" s="1" t="s">
        <v>24</v>
      </c>
      <c r="B13" s="1">
        <f>IFERROR(GETPIVOTDATA("Attendee count",'Pivot Support'!$A$12,"Attendance Type",A13),0)</f>
        <v>50</v>
      </c>
      <c r="C13" s="1"/>
      <c r="D13" s="1"/>
      <c r="E13" s="1"/>
      <c r="F13" s="1"/>
      <c r="G13" s="1"/>
      <c r="H13" s="1" t="s">
        <v>24</v>
      </c>
      <c r="I13" s="1">
        <f>IFERROR(GETPIVOTDATA("Attendee count",'Pivot Support'!$K$12,"Attendance Type",H13),0)</f>
        <v>50</v>
      </c>
      <c r="J13" s="1"/>
      <c r="K13" s="1"/>
      <c r="L13" s="1"/>
      <c r="M13" s="1"/>
      <c r="N13" s="1"/>
    </row>
    <row r="14" spans="1:14" ht="22" customHeight="1" x14ac:dyDescent="0.35">
      <c r="A14" s="1"/>
      <c r="B14" s="1"/>
      <c r="C14" s="1"/>
      <c r="D14" s="1"/>
      <c r="E14" s="1"/>
      <c r="F14" s="1"/>
      <c r="G14" s="1"/>
      <c r="H14" s="1"/>
      <c r="I14" s="1"/>
      <c r="J14" s="1"/>
      <c r="K14" s="1"/>
      <c r="L14" s="1"/>
      <c r="M14" s="1"/>
      <c r="N14" s="1"/>
    </row>
    <row r="15" spans="1:14" ht="22" customHeight="1" x14ac:dyDescent="0.35">
      <c r="A15" s="1"/>
      <c r="B15" s="1"/>
      <c r="C15" s="1"/>
      <c r="D15" s="1"/>
      <c r="E15" s="1"/>
      <c r="F15" s="1"/>
      <c r="G15" s="1"/>
      <c r="H15" s="1"/>
      <c r="I15" s="1"/>
      <c r="J15" s="1"/>
      <c r="K15" s="1"/>
      <c r="L15" s="1"/>
      <c r="M15" s="1"/>
      <c r="N15" s="1"/>
    </row>
    <row r="16" spans="1:14" ht="22" customHeight="1" x14ac:dyDescent="0.35">
      <c r="A16" s="1" t="s">
        <v>499</v>
      </c>
      <c r="B16" s="1" t="s">
        <v>442</v>
      </c>
      <c r="C16" s="1" t="s">
        <v>500</v>
      </c>
      <c r="D16" s="1"/>
      <c r="E16" s="1"/>
      <c r="F16" s="1"/>
      <c r="G16" s="1"/>
      <c r="H16" s="1" t="s">
        <v>499</v>
      </c>
      <c r="I16" s="1" t="s">
        <v>442</v>
      </c>
      <c r="J16" s="1" t="s">
        <v>500</v>
      </c>
      <c r="K16" s="1"/>
      <c r="L16" s="1"/>
      <c r="M16" s="1"/>
      <c r="N16" s="1"/>
    </row>
    <row r="17" spans="1:14" ht="22" customHeight="1" x14ac:dyDescent="0.35">
      <c r="A17" s="1" t="str">
        <f t="shared" ref="A17:A41" si="0">TEXT(C17,"mmm yy")</f>
        <v>Nov 22</v>
      </c>
      <c r="B17" s="1">
        <f>IFERROR(GETPIVOTDATA("Attendee count",'Pivot Support'!$A$24,"Registration Month",C17),0)</f>
        <v>1</v>
      </c>
      <c r="C17" s="1">
        <v>44866</v>
      </c>
      <c r="D17" s="1"/>
      <c r="E17" s="1"/>
      <c r="F17" s="1"/>
      <c r="G17" s="1"/>
      <c r="H17" s="1" t="str">
        <f t="shared" ref="H17:H41" si="1">TEXT(J17,"mmm yy")</f>
        <v>Nov 22</v>
      </c>
      <c r="I17" s="1">
        <f>IFERROR(GETPIVOTDATA("Attendee count",'Pivot Support'!$K$24,"Registration Month",J17),0)</f>
        <v>1</v>
      </c>
      <c r="J17" s="1">
        <v>44866</v>
      </c>
      <c r="K17" s="1"/>
      <c r="L17" s="1"/>
      <c r="M17" s="1"/>
      <c r="N17" s="1"/>
    </row>
    <row r="18" spans="1:14" ht="22" customHeight="1" x14ac:dyDescent="0.35">
      <c r="A18" s="1" t="str">
        <f t="shared" si="0"/>
        <v>Dec 22</v>
      </c>
      <c r="B18" s="1">
        <f>IFERROR(GETPIVOTDATA("Attendee count",'Pivot Support'!$A$24,"Registration Month",C18),0)</f>
        <v>4</v>
      </c>
      <c r="C18" s="1">
        <v>44896</v>
      </c>
      <c r="D18" s="1"/>
      <c r="E18" s="1"/>
      <c r="F18" s="1"/>
      <c r="G18" s="1"/>
      <c r="H18" s="1" t="str">
        <f t="shared" si="1"/>
        <v>Dec 22</v>
      </c>
      <c r="I18" s="1">
        <f>IFERROR(GETPIVOTDATA("Attendee count",'Pivot Support'!$K$24,"Registration Month",J18),0)</f>
        <v>4</v>
      </c>
      <c r="J18" s="1">
        <v>44896</v>
      </c>
      <c r="K18" s="1"/>
      <c r="L18" s="1"/>
      <c r="M18" s="1"/>
      <c r="N18" s="1"/>
    </row>
    <row r="19" spans="1:14" ht="22" customHeight="1" x14ac:dyDescent="0.35">
      <c r="A19" s="1" t="str">
        <f t="shared" si="0"/>
        <v>Jan 23</v>
      </c>
      <c r="B19" s="1">
        <f>IFERROR(GETPIVOTDATA("Attendee count",'Pivot Support'!$A$24,"Registration Month",C19),0)</f>
        <v>3</v>
      </c>
      <c r="C19" s="1">
        <v>44927</v>
      </c>
      <c r="D19" s="1"/>
      <c r="E19" s="1"/>
      <c r="F19" s="1"/>
      <c r="G19" s="1"/>
      <c r="H19" s="1" t="str">
        <f t="shared" si="1"/>
        <v>Jan 23</v>
      </c>
      <c r="I19" s="1">
        <f>IFERROR(GETPIVOTDATA("Attendee count",'Pivot Support'!$K$24,"Registration Month",J19),0)</f>
        <v>3</v>
      </c>
      <c r="J19" s="1">
        <v>44927</v>
      </c>
      <c r="K19" s="1"/>
      <c r="L19" s="1"/>
      <c r="M19" s="1"/>
      <c r="N19" s="1"/>
    </row>
    <row r="20" spans="1:14" ht="22" customHeight="1" x14ac:dyDescent="0.35">
      <c r="A20" s="1" t="str">
        <f t="shared" si="0"/>
        <v>Feb 23</v>
      </c>
      <c r="B20" s="1">
        <f>IFERROR(GETPIVOTDATA("Attendee count",'Pivot Support'!$A$24,"Registration Month",C20),0)</f>
        <v>8</v>
      </c>
      <c r="C20" s="1">
        <v>44958</v>
      </c>
      <c r="D20" s="1"/>
      <c r="E20" s="1"/>
      <c r="F20" s="1"/>
      <c r="G20" s="1"/>
      <c r="H20" s="1" t="str">
        <f t="shared" si="1"/>
        <v>Feb 23</v>
      </c>
      <c r="I20" s="1">
        <f>IFERROR(GETPIVOTDATA("Attendee count",'Pivot Support'!$K$24,"Registration Month",J20),0)</f>
        <v>8</v>
      </c>
      <c r="J20" s="1">
        <v>44958</v>
      </c>
      <c r="K20" s="1"/>
      <c r="L20" s="1"/>
      <c r="M20" s="1"/>
      <c r="N20" s="1"/>
    </row>
    <row r="21" spans="1:14" ht="22" customHeight="1" x14ac:dyDescent="0.35">
      <c r="A21" s="1" t="str">
        <f t="shared" si="0"/>
        <v>Mar 23</v>
      </c>
      <c r="B21" s="1">
        <f>IFERROR(GETPIVOTDATA("Attendee count",'Pivot Support'!$A$24,"Registration Month",C21),0)</f>
        <v>1</v>
      </c>
      <c r="C21" s="1">
        <v>44986</v>
      </c>
      <c r="D21" s="1"/>
      <c r="E21" s="1"/>
      <c r="F21" s="1"/>
      <c r="G21" s="1"/>
      <c r="H21" s="1" t="str">
        <f t="shared" si="1"/>
        <v>Mar 23</v>
      </c>
      <c r="I21" s="1">
        <f>IFERROR(GETPIVOTDATA("Attendee count",'Pivot Support'!$K$24,"Registration Month",J21),0)</f>
        <v>1</v>
      </c>
      <c r="J21" s="1">
        <v>44986</v>
      </c>
      <c r="K21" s="1"/>
      <c r="L21" s="1"/>
      <c r="M21" s="1"/>
      <c r="N21" s="1"/>
    </row>
    <row r="22" spans="1:14" ht="22" customHeight="1" x14ac:dyDescent="0.35">
      <c r="A22" s="1" t="str">
        <f t="shared" si="0"/>
        <v>Apr 23</v>
      </c>
      <c r="B22" s="1">
        <f>IFERROR(GETPIVOTDATA("Attendee count",'Pivot Support'!$A$24,"Registration Month",C22),0)</f>
        <v>6</v>
      </c>
      <c r="C22" s="1">
        <v>45017</v>
      </c>
      <c r="D22" s="1"/>
      <c r="E22" s="1"/>
      <c r="F22" s="1"/>
      <c r="G22" s="1"/>
      <c r="H22" s="1" t="str">
        <f t="shared" si="1"/>
        <v>Apr 23</v>
      </c>
      <c r="I22" s="1">
        <f>IFERROR(GETPIVOTDATA("Attendee count",'Pivot Support'!$K$24,"Registration Month",J22),0)</f>
        <v>6</v>
      </c>
      <c r="J22" s="1">
        <v>45017</v>
      </c>
      <c r="K22" s="1"/>
      <c r="L22" s="1"/>
      <c r="M22" s="1"/>
      <c r="N22" s="1"/>
    </row>
    <row r="23" spans="1:14" ht="22" customHeight="1" x14ac:dyDescent="0.35">
      <c r="A23" s="1" t="str">
        <f t="shared" si="0"/>
        <v>May 23</v>
      </c>
      <c r="B23" s="1">
        <f>IFERROR(GETPIVOTDATA("Attendee count",'Pivot Support'!$A$24,"Registration Month",C23),0)</f>
        <v>3</v>
      </c>
      <c r="C23" s="1">
        <v>45047</v>
      </c>
      <c r="D23" s="1"/>
      <c r="E23" s="1"/>
      <c r="F23" s="1"/>
      <c r="G23" s="1"/>
      <c r="H23" s="1" t="str">
        <f t="shared" si="1"/>
        <v>May 23</v>
      </c>
      <c r="I23" s="1">
        <f>IFERROR(GETPIVOTDATA("Attendee count",'Pivot Support'!$K$24,"Registration Month",J23),0)</f>
        <v>3</v>
      </c>
      <c r="J23" s="1">
        <v>45047</v>
      </c>
      <c r="K23" s="1"/>
      <c r="L23" s="1"/>
      <c r="M23" s="1"/>
      <c r="N23" s="1"/>
    </row>
    <row r="24" spans="1:14" ht="22" customHeight="1" x14ac:dyDescent="0.35">
      <c r="A24" s="1" t="str">
        <f t="shared" si="0"/>
        <v>Jun 23</v>
      </c>
      <c r="B24" s="1">
        <f>IFERROR(GETPIVOTDATA("Attendee count",'Pivot Support'!$A$24,"Registration Month",C24),0)</f>
        <v>2</v>
      </c>
      <c r="C24" s="1">
        <v>45078</v>
      </c>
      <c r="D24" s="1"/>
      <c r="E24" s="1"/>
      <c r="F24" s="1"/>
      <c r="G24" s="1"/>
      <c r="H24" s="1" t="str">
        <f t="shared" si="1"/>
        <v>Jun 23</v>
      </c>
      <c r="I24" s="1">
        <f>IFERROR(GETPIVOTDATA("Attendee count",'Pivot Support'!$K$24,"Registration Month",J24),0)</f>
        <v>2</v>
      </c>
      <c r="J24" s="1">
        <v>45078</v>
      </c>
      <c r="K24" s="1"/>
      <c r="L24" s="1"/>
      <c r="M24" s="1"/>
      <c r="N24" s="1"/>
    </row>
    <row r="25" spans="1:14" ht="22" customHeight="1" x14ac:dyDescent="0.35">
      <c r="A25" s="1" t="str">
        <f t="shared" si="0"/>
        <v>Jul 23</v>
      </c>
      <c r="B25" s="1">
        <f>IFERROR(GETPIVOTDATA("Attendee count",'Pivot Support'!$A$24,"Registration Month",C25),0)</f>
        <v>5</v>
      </c>
      <c r="C25" s="1">
        <v>45108</v>
      </c>
      <c r="D25" s="1"/>
      <c r="E25" s="1"/>
      <c r="F25" s="1"/>
      <c r="G25" s="1"/>
      <c r="H25" s="1" t="str">
        <f t="shared" si="1"/>
        <v>Jul 23</v>
      </c>
      <c r="I25" s="1">
        <f>IFERROR(GETPIVOTDATA("Attendee count",'Pivot Support'!$K$24,"Registration Month",J25),0)</f>
        <v>5</v>
      </c>
      <c r="J25" s="1">
        <v>45108</v>
      </c>
      <c r="K25" s="1"/>
      <c r="L25" s="1"/>
      <c r="M25" s="1"/>
      <c r="N25" s="1"/>
    </row>
    <row r="26" spans="1:14" ht="22" customHeight="1" x14ac:dyDescent="0.35">
      <c r="A26" s="1" t="str">
        <f t="shared" si="0"/>
        <v>Aug 23</v>
      </c>
      <c r="B26" s="1">
        <f>IFERROR(GETPIVOTDATA("Attendee count",'Pivot Support'!$A$24,"Registration Month",C26),0)</f>
        <v>3</v>
      </c>
      <c r="C26" s="1">
        <v>45139</v>
      </c>
      <c r="D26" s="1"/>
      <c r="E26" s="1"/>
      <c r="F26" s="1"/>
      <c r="G26" s="1"/>
      <c r="H26" s="1" t="str">
        <f t="shared" si="1"/>
        <v>Aug 23</v>
      </c>
      <c r="I26" s="1">
        <f>IFERROR(GETPIVOTDATA("Attendee count",'Pivot Support'!$K$24,"Registration Month",J26),0)</f>
        <v>3</v>
      </c>
      <c r="J26" s="1">
        <v>45139</v>
      </c>
      <c r="K26" s="1"/>
      <c r="L26" s="1"/>
      <c r="M26" s="1"/>
      <c r="N26" s="1"/>
    </row>
    <row r="27" spans="1:14" ht="22" customHeight="1" x14ac:dyDescent="0.35">
      <c r="A27" s="1" t="str">
        <f t="shared" si="0"/>
        <v>Sep 23</v>
      </c>
      <c r="B27" s="1">
        <f>IFERROR(GETPIVOTDATA("Attendee count",'Pivot Support'!$A$24,"Registration Month",C27),0)</f>
        <v>3</v>
      </c>
      <c r="C27" s="1">
        <v>45170</v>
      </c>
      <c r="D27" s="1"/>
      <c r="E27" s="1"/>
      <c r="F27" s="1"/>
      <c r="G27" s="1"/>
      <c r="H27" s="1" t="str">
        <f t="shared" si="1"/>
        <v>Sep 23</v>
      </c>
      <c r="I27" s="1">
        <f>IFERROR(GETPIVOTDATA("Attendee count",'Pivot Support'!$K$24,"Registration Month",J27),0)</f>
        <v>3</v>
      </c>
      <c r="J27" s="1">
        <v>45170</v>
      </c>
      <c r="K27" s="1"/>
      <c r="L27" s="1"/>
      <c r="M27" s="1"/>
      <c r="N27" s="1"/>
    </row>
    <row r="28" spans="1:14" ht="22" customHeight="1" x14ac:dyDescent="0.35">
      <c r="A28" s="1" t="str">
        <f t="shared" si="0"/>
        <v>Oct 23</v>
      </c>
      <c r="B28" s="1">
        <f>IFERROR(GETPIVOTDATA("Attendee count",'Pivot Support'!$A$24,"Registration Month",C28),0)</f>
        <v>4</v>
      </c>
      <c r="C28" s="1">
        <v>45200</v>
      </c>
      <c r="D28" s="1"/>
      <c r="E28" s="1"/>
      <c r="F28" s="1"/>
      <c r="G28" s="1"/>
      <c r="H28" s="1" t="str">
        <f t="shared" si="1"/>
        <v>Oct 23</v>
      </c>
      <c r="I28" s="1">
        <f>IFERROR(GETPIVOTDATA("Attendee count",'Pivot Support'!$K$24,"Registration Month",J28),0)</f>
        <v>4</v>
      </c>
      <c r="J28" s="1">
        <v>45200</v>
      </c>
      <c r="K28" s="1"/>
      <c r="L28" s="1"/>
      <c r="M28" s="1"/>
      <c r="N28" s="1"/>
    </row>
    <row r="29" spans="1:14" ht="22" customHeight="1" x14ac:dyDescent="0.35">
      <c r="A29" s="1" t="str">
        <f t="shared" si="0"/>
        <v>Nov 23</v>
      </c>
      <c r="B29" s="1">
        <f>IFERROR(GETPIVOTDATA("Attendee count",'Pivot Support'!$A$24,"Registration Month",C29),0)</f>
        <v>2</v>
      </c>
      <c r="C29" s="1">
        <v>45231</v>
      </c>
      <c r="D29" s="1"/>
      <c r="E29" s="1"/>
      <c r="F29" s="1"/>
      <c r="G29" s="1"/>
      <c r="H29" s="1" t="str">
        <f t="shared" si="1"/>
        <v>Nov 23</v>
      </c>
      <c r="I29" s="1">
        <f>IFERROR(GETPIVOTDATA("Attendee count",'Pivot Support'!$K$24,"Registration Month",J29),0)</f>
        <v>2</v>
      </c>
      <c r="J29" s="1">
        <v>45231</v>
      </c>
      <c r="K29" s="1"/>
      <c r="L29" s="1"/>
      <c r="M29" s="1"/>
      <c r="N29" s="1"/>
    </row>
    <row r="30" spans="1:14" ht="22" customHeight="1" x14ac:dyDescent="0.35">
      <c r="A30" s="1" t="str">
        <f t="shared" si="0"/>
        <v>Dec 23</v>
      </c>
      <c r="B30" s="1">
        <f>IFERROR(GETPIVOTDATA("Attendee count",'Pivot Support'!$A$24,"Registration Month",C30),0)</f>
        <v>2</v>
      </c>
      <c r="C30" s="1">
        <v>45261</v>
      </c>
      <c r="D30" s="1"/>
      <c r="E30" s="1"/>
      <c r="F30" s="1"/>
      <c r="G30" s="1"/>
      <c r="H30" s="1" t="str">
        <f t="shared" si="1"/>
        <v>Dec 23</v>
      </c>
      <c r="I30" s="1">
        <f>IFERROR(GETPIVOTDATA("Attendee count",'Pivot Support'!$K$24,"Registration Month",J30),0)</f>
        <v>2</v>
      </c>
      <c r="J30" s="1">
        <v>45261</v>
      </c>
      <c r="K30" s="1"/>
      <c r="L30" s="1"/>
      <c r="M30" s="1"/>
      <c r="N30" s="1"/>
    </row>
    <row r="31" spans="1:14" ht="22" customHeight="1" x14ac:dyDescent="0.35">
      <c r="A31" s="1" t="str">
        <f t="shared" si="0"/>
        <v>Jan 24</v>
      </c>
      <c r="B31" s="1">
        <f>IFERROR(GETPIVOTDATA("Attendee count",'Pivot Support'!$A$24,"Registration Month",C31),0)</f>
        <v>7</v>
      </c>
      <c r="C31" s="1">
        <v>45292</v>
      </c>
      <c r="D31" s="1"/>
      <c r="E31" s="1"/>
      <c r="F31" s="1"/>
      <c r="G31" s="1"/>
      <c r="H31" s="1" t="str">
        <f t="shared" si="1"/>
        <v>Jan 24</v>
      </c>
      <c r="I31" s="1">
        <f>IFERROR(GETPIVOTDATA("Attendee count",'Pivot Support'!$K$24,"Registration Month",J31),0)</f>
        <v>7</v>
      </c>
      <c r="J31" s="1">
        <v>45292</v>
      </c>
      <c r="K31" s="1"/>
      <c r="L31" s="1"/>
      <c r="M31" s="1"/>
      <c r="N31" s="1"/>
    </row>
    <row r="32" spans="1:14" ht="22" customHeight="1" x14ac:dyDescent="0.35">
      <c r="A32" s="1" t="str">
        <f t="shared" si="0"/>
        <v>Feb 24</v>
      </c>
      <c r="B32" s="1">
        <f>IFERROR(GETPIVOTDATA("Attendee count",'Pivot Support'!$A$24,"Registration Month",C32),0)</f>
        <v>9</v>
      </c>
      <c r="C32" s="1">
        <v>45323</v>
      </c>
      <c r="D32" s="1"/>
      <c r="E32" s="1"/>
      <c r="F32" s="1"/>
      <c r="G32" s="1"/>
      <c r="H32" s="1" t="str">
        <f t="shared" si="1"/>
        <v>Feb 24</v>
      </c>
      <c r="I32" s="1">
        <f>IFERROR(GETPIVOTDATA("Attendee count",'Pivot Support'!$K$24,"Registration Month",J32),0)</f>
        <v>9</v>
      </c>
      <c r="J32" s="1">
        <v>45323</v>
      </c>
      <c r="K32" s="1"/>
      <c r="L32" s="1"/>
      <c r="M32" s="1"/>
      <c r="N32" s="1"/>
    </row>
    <row r="33" spans="1:14" ht="22" customHeight="1" x14ac:dyDescent="0.35">
      <c r="A33" s="1" t="str">
        <f t="shared" si="0"/>
        <v>Mar 24</v>
      </c>
      <c r="B33" s="1">
        <f>IFERROR(GETPIVOTDATA("Attendee count",'Pivot Support'!$A$24,"Registration Month",C33),0)</f>
        <v>5</v>
      </c>
      <c r="C33" s="1">
        <v>45352</v>
      </c>
      <c r="D33" s="1"/>
      <c r="E33" s="1"/>
      <c r="F33" s="1"/>
      <c r="G33" s="1"/>
      <c r="H33" s="1" t="str">
        <f t="shared" si="1"/>
        <v>Mar 24</v>
      </c>
      <c r="I33" s="1">
        <f>IFERROR(GETPIVOTDATA("Attendee count",'Pivot Support'!$K$24,"Registration Month",J33),0)</f>
        <v>5</v>
      </c>
      <c r="J33" s="1">
        <v>45352</v>
      </c>
      <c r="K33" s="1"/>
      <c r="L33" s="1"/>
      <c r="M33" s="1"/>
      <c r="N33" s="1"/>
    </row>
    <row r="34" spans="1:14" ht="22" customHeight="1" x14ac:dyDescent="0.35">
      <c r="A34" s="1" t="str">
        <f t="shared" si="0"/>
        <v>Apr 24</v>
      </c>
      <c r="B34" s="1">
        <f>IFERROR(GETPIVOTDATA("Attendee count",'Pivot Support'!$A$24,"Registration Month",C34),0)</f>
        <v>3</v>
      </c>
      <c r="C34" s="1">
        <v>45383</v>
      </c>
      <c r="D34" s="1"/>
      <c r="E34" s="1"/>
      <c r="F34" s="1"/>
      <c r="G34" s="1"/>
      <c r="H34" s="1" t="str">
        <f t="shared" si="1"/>
        <v>Apr 24</v>
      </c>
      <c r="I34" s="1">
        <f>IFERROR(GETPIVOTDATA("Attendee count",'Pivot Support'!$K$24,"Registration Month",J34),0)</f>
        <v>3</v>
      </c>
      <c r="J34" s="1">
        <v>45383</v>
      </c>
      <c r="K34" s="1"/>
      <c r="L34" s="1"/>
      <c r="M34" s="1"/>
      <c r="N34" s="1"/>
    </row>
    <row r="35" spans="1:14" ht="22" customHeight="1" x14ac:dyDescent="0.35">
      <c r="A35" s="1" t="str">
        <f t="shared" si="0"/>
        <v>May 24</v>
      </c>
      <c r="B35" s="1">
        <f>IFERROR(GETPIVOTDATA("Attendee count",'Pivot Support'!$A$24,"Registration Month",C35),0)</f>
        <v>3</v>
      </c>
      <c r="C35" s="1">
        <v>45413</v>
      </c>
      <c r="D35" s="1"/>
      <c r="E35" s="1"/>
      <c r="F35" s="1"/>
      <c r="G35" s="1"/>
      <c r="H35" s="1" t="str">
        <f t="shared" si="1"/>
        <v>May 24</v>
      </c>
      <c r="I35" s="1">
        <f>IFERROR(GETPIVOTDATA("Attendee count",'Pivot Support'!$K$24,"Registration Month",J35),0)</f>
        <v>3</v>
      </c>
      <c r="J35" s="1">
        <v>45413</v>
      </c>
      <c r="K35" s="1"/>
      <c r="L35" s="1"/>
      <c r="M35" s="1"/>
      <c r="N35" s="1"/>
    </row>
    <row r="36" spans="1:14" ht="22" customHeight="1" x14ac:dyDescent="0.35">
      <c r="A36" s="1" t="str">
        <f t="shared" si="0"/>
        <v>Jun 24</v>
      </c>
      <c r="B36" s="1">
        <f>IFERROR(GETPIVOTDATA("Attendee count",'Pivot Support'!$A$24,"Registration Month",C36),0)</f>
        <v>6</v>
      </c>
      <c r="C36" s="1">
        <v>45444</v>
      </c>
      <c r="D36" s="1"/>
      <c r="E36" s="1"/>
      <c r="F36" s="1"/>
      <c r="G36" s="1"/>
      <c r="H36" s="1" t="str">
        <f t="shared" si="1"/>
        <v>Jun 24</v>
      </c>
      <c r="I36" s="1">
        <f>IFERROR(GETPIVOTDATA("Attendee count",'Pivot Support'!$K$24,"Registration Month",J36),0)</f>
        <v>6</v>
      </c>
      <c r="J36" s="1">
        <v>45444</v>
      </c>
      <c r="K36" s="1"/>
      <c r="L36" s="1"/>
      <c r="M36" s="1"/>
      <c r="N36" s="1"/>
    </row>
    <row r="37" spans="1:14" ht="22" customHeight="1" x14ac:dyDescent="0.35">
      <c r="A37" s="1" t="str">
        <f t="shared" si="0"/>
        <v>Jul 24</v>
      </c>
      <c r="B37" s="1">
        <f>IFERROR(GETPIVOTDATA("Attendee count",'Pivot Support'!$A$24,"Registration Month",C37),0)</f>
        <v>3</v>
      </c>
      <c r="C37" s="1">
        <v>45474</v>
      </c>
      <c r="D37" s="1"/>
      <c r="E37" s="1"/>
      <c r="F37" s="1"/>
      <c r="G37" s="1"/>
      <c r="H37" s="1" t="str">
        <f t="shared" si="1"/>
        <v>Jul 24</v>
      </c>
      <c r="I37" s="1">
        <f>IFERROR(GETPIVOTDATA("Attendee count",'Pivot Support'!$K$24,"Registration Month",J37),0)</f>
        <v>3</v>
      </c>
      <c r="J37" s="1">
        <v>45474</v>
      </c>
      <c r="K37" s="1"/>
      <c r="L37" s="1"/>
      <c r="M37" s="1"/>
      <c r="N37" s="1"/>
    </row>
    <row r="38" spans="1:14" ht="22" customHeight="1" x14ac:dyDescent="0.35">
      <c r="A38" s="1" t="str">
        <f t="shared" si="0"/>
        <v>Aug 24</v>
      </c>
      <c r="B38" s="1">
        <f>IFERROR(GETPIVOTDATA("Attendee count",'Pivot Support'!$A$24,"Registration Month",C38),0)</f>
        <v>7</v>
      </c>
      <c r="C38" s="1">
        <v>45505</v>
      </c>
      <c r="D38" s="1"/>
      <c r="E38" s="1"/>
      <c r="F38" s="1"/>
      <c r="G38" s="1"/>
      <c r="H38" s="1" t="str">
        <f t="shared" si="1"/>
        <v>Aug 24</v>
      </c>
      <c r="I38" s="1">
        <f>IFERROR(GETPIVOTDATA("Attendee count",'Pivot Support'!$K$24,"Registration Month",J38),0)</f>
        <v>7</v>
      </c>
      <c r="J38" s="1">
        <v>45505</v>
      </c>
      <c r="K38" s="1"/>
      <c r="L38" s="1"/>
      <c r="M38" s="1"/>
      <c r="N38" s="1"/>
    </row>
    <row r="39" spans="1:14" ht="22" customHeight="1" x14ac:dyDescent="0.35">
      <c r="A39" s="1" t="str">
        <f t="shared" si="0"/>
        <v>Sep 24</v>
      </c>
      <c r="B39" s="1">
        <f>IFERROR(GETPIVOTDATA("Attendee count",'Pivot Support'!$A$24,"Registration Month",C39),0)</f>
        <v>2</v>
      </c>
      <c r="C39" s="1">
        <v>45536</v>
      </c>
      <c r="D39" s="1"/>
      <c r="E39" s="1"/>
      <c r="F39" s="1"/>
      <c r="G39" s="1"/>
      <c r="H39" s="1" t="str">
        <f t="shared" si="1"/>
        <v>Sep 24</v>
      </c>
      <c r="I39" s="1">
        <f>IFERROR(GETPIVOTDATA("Attendee count",'Pivot Support'!$K$24,"Registration Month",J39),0)</f>
        <v>2</v>
      </c>
      <c r="J39" s="1">
        <v>45536</v>
      </c>
      <c r="K39" s="1"/>
      <c r="L39" s="1"/>
      <c r="M39" s="1"/>
      <c r="N39" s="1"/>
    </row>
    <row r="40" spans="1:14" ht="22" customHeight="1" x14ac:dyDescent="0.35">
      <c r="A40" s="1" t="str">
        <f t="shared" si="0"/>
        <v>Oct 24</v>
      </c>
      <c r="B40" s="1">
        <f>IFERROR(GETPIVOTDATA("Attendee count",'Pivot Support'!$A$24,"Registration Month",C40),0)</f>
        <v>6</v>
      </c>
      <c r="C40" s="1">
        <v>45566</v>
      </c>
      <c r="D40" s="1"/>
      <c r="E40" s="1"/>
      <c r="F40" s="1"/>
      <c r="G40" s="1"/>
      <c r="H40" s="1" t="str">
        <f t="shared" si="1"/>
        <v>Oct 24</v>
      </c>
      <c r="I40" s="1">
        <f>IFERROR(GETPIVOTDATA("Attendee count",'Pivot Support'!$K$24,"Registration Month",J40),0)</f>
        <v>6</v>
      </c>
      <c r="J40" s="1">
        <v>45566</v>
      </c>
      <c r="K40" s="1"/>
      <c r="L40" s="1"/>
      <c r="M40" s="1"/>
      <c r="N40" s="1"/>
    </row>
    <row r="41" spans="1:14" ht="22" customHeight="1" x14ac:dyDescent="0.35">
      <c r="A41" s="1" t="str">
        <f t="shared" si="0"/>
        <v>Nov 24</v>
      </c>
      <c r="B41" s="1">
        <f>IFERROR(GETPIVOTDATA("Attendee count",'Pivot Support'!$A$24,"Registration Month",C41),0)</f>
        <v>2</v>
      </c>
      <c r="C41" s="1">
        <v>45597</v>
      </c>
      <c r="D41" s="1"/>
      <c r="E41" s="1"/>
      <c r="F41" s="1"/>
      <c r="G41" s="1"/>
      <c r="H41" s="1" t="str">
        <f t="shared" si="1"/>
        <v>Nov 24</v>
      </c>
      <c r="I41" s="1">
        <f>IFERROR(GETPIVOTDATA("Attendee count",'Pivot Support'!$K$24,"Registration Month",J41),0)</f>
        <v>2</v>
      </c>
      <c r="J41" s="1">
        <v>45597</v>
      </c>
      <c r="K41" s="1"/>
      <c r="L41" s="1"/>
      <c r="M41" s="1"/>
      <c r="N41" s="1"/>
    </row>
    <row r="42" spans="1:14" ht="22" customHeight="1" x14ac:dyDescent="0.35">
      <c r="A42" s="1"/>
      <c r="B42" s="1"/>
      <c r="C42" s="1"/>
      <c r="D42" s="1"/>
      <c r="E42" s="1"/>
      <c r="F42" s="1"/>
      <c r="G42" s="1"/>
      <c r="H42" s="1"/>
      <c r="I42" s="1"/>
      <c r="J42" s="1"/>
      <c r="K42" s="1"/>
      <c r="L42" s="1"/>
      <c r="M42" s="1"/>
      <c r="N42" s="1"/>
    </row>
    <row r="43" spans="1:14" ht="22" customHeight="1" x14ac:dyDescent="0.35">
      <c r="A43" s="1"/>
      <c r="B43" s="1"/>
      <c r="C43" s="1"/>
      <c r="D43" s="1"/>
      <c r="E43" s="1"/>
      <c r="F43" s="1"/>
      <c r="G43" s="1"/>
      <c r="H43" s="1"/>
      <c r="I43" s="1"/>
      <c r="J43" s="1"/>
      <c r="K43" s="1"/>
      <c r="L43" s="1"/>
      <c r="M43" s="1"/>
      <c r="N43" s="1"/>
    </row>
    <row r="44" spans="1:14" ht="22" customHeight="1" x14ac:dyDescent="0.35">
      <c r="A44" s="1"/>
      <c r="B44" s="1"/>
      <c r="C44" s="1"/>
      <c r="D44" s="1"/>
      <c r="E44" s="1"/>
      <c r="F44" s="1"/>
      <c r="G44" s="1"/>
      <c r="H44" s="1"/>
      <c r="I44" s="1"/>
      <c r="J44" s="1"/>
      <c r="K44" s="1"/>
      <c r="L44" s="1"/>
      <c r="M44" s="1"/>
      <c r="N44" s="1"/>
    </row>
    <row r="45" spans="1:14" ht="22" customHeight="1" x14ac:dyDescent="0.35">
      <c r="A45" s="1"/>
      <c r="B45" s="1"/>
      <c r="C45" s="1"/>
      <c r="D45" s="1"/>
      <c r="E45" s="1"/>
      <c r="F45" s="1"/>
      <c r="G45" s="1"/>
      <c r="H45" s="1"/>
      <c r="I45" s="1"/>
      <c r="J45" s="1"/>
      <c r="K45" s="1"/>
      <c r="L45" s="1"/>
      <c r="M45" s="1"/>
      <c r="N45" s="1"/>
    </row>
    <row r="46" spans="1:14" ht="22" customHeight="1" x14ac:dyDescent="0.35">
      <c r="A46" s="1"/>
      <c r="B46" s="1"/>
      <c r="C46" s="1"/>
      <c r="D46" s="1"/>
      <c r="E46" s="1"/>
      <c r="F46" s="1"/>
      <c r="G46" s="1"/>
      <c r="H46" s="1"/>
      <c r="I46" s="1"/>
      <c r="J46" s="1"/>
      <c r="K46" s="1"/>
      <c r="L46" s="1"/>
      <c r="M46" s="1"/>
      <c r="N46" s="1"/>
    </row>
    <row r="47" spans="1:14" ht="22" customHeight="1" x14ac:dyDescent="0.35">
      <c r="A47" s="1"/>
      <c r="B47" s="1"/>
      <c r="C47" s="1"/>
      <c r="D47" s="1"/>
      <c r="E47" s="1"/>
      <c r="F47" s="1"/>
      <c r="G47" s="1"/>
      <c r="H47" s="1"/>
      <c r="I47" s="1"/>
      <c r="J47" s="1"/>
      <c r="K47" s="1"/>
      <c r="L47" s="1"/>
      <c r="M47" s="1"/>
      <c r="N47" s="1"/>
    </row>
    <row r="48" spans="1:14" ht="22" customHeight="1" x14ac:dyDescent="0.35">
      <c r="A48" s="1"/>
      <c r="B48" s="1"/>
      <c r="C48" s="1"/>
      <c r="D48" s="1"/>
      <c r="E48" s="1"/>
      <c r="F48" s="1"/>
      <c r="G48" s="1"/>
      <c r="H48" s="1"/>
      <c r="I48" s="1"/>
      <c r="J48" s="1"/>
      <c r="K48" s="1"/>
      <c r="L48" s="1"/>
      <c r="M48" s="1"/>
      <c r="N48" s="1"/>
    </row>
    <row r="49" spans="1:14" ht="22" customHeight="1" x14ac:dyDescent="0.35">
      <c r="A49" s="1"/>
      <c r="B49" s="1"/>
      <c r="C49" s="1"/>
      <c r="D49" s="1"/>
      <c r="E49" s="1"/>
      <c r="F49" s="1"/>
      <c r="G49" s="1"/>
      <c r="H49" s="1"/>
      <c r="I49" s="1"/>
      <c r="J49" s="1"/>
      <c r="K49" s="1"/>
      <c r="L49" s="1"/>
      <c r="M49" s="1"/>
      <c r="N49" s="1"/>
    </row>
    <row r="50" spans="1:14" ht="22" customHeight="1" x14ac:dyDescent="0.35">
      <c r="A50" s="1"/>
      <c r="B50" s="1"/>
      <c r="C50" s="1"/>
      <c r="D50" s="1"/>
      <c r="E50" s="1"/>
      <c r="F50" s="1"/>
      <c r="G50" s="1"/>
      <c r="H50" s="1"/>
      <c r="I50" s="1"/>
      <c r="J50" s="1"/>
      <c r="K50" s="1"/>
      <c r="L50" s="1"/>
      <c r="M50" s="1"/>
      <c r="N50" s="1"/>
    </row>
    <row r="51" spans="1:14" ht="22" customHeight="1" x14ac:dyDescent="0.35">
      <c r="A51" s="1"/>
      <c r="B51" s="1"/>
      <c r="C51" s="1"/>
      <c r="D51" s="1"/>
      <c r="E51" s="1"/>
      <c r="F51" s="1"/>
      <c r="G51" s="1"/>
      <c r="H51" s="1"/>
      <c r="I51" s="1"/>
      <c r="J51" s="1"/>
      <c r="K51" s="1"/>
      <c r="L51" s="1"/>
      <c r="M51" s="1"/>
      <c r="N51" s="1"/>
    </row>
    <row r="52" spans="1:14" ht="22" customHeight="1" x14ac:dyDescent="0.35">
      <c r="A52" s="1"/>
      <c r="B52" s="1"/>
      <c r="C52" s="1"/>
      <c r="D52" s="1"/>
      <c r="E52" s="1"/>
      <c r="F52" s="1"/>
      <c r="G52" s="1"/>
      <c r="H52" s="1"/>
      <c r="I52" s="1"/>
      <c r="J52" s="1"/>
      <c r="K52" s="1"/>
      <c r="L52" s="1"/>
      <c r="M52" s="1"/>
      <c r="N52" s="1"/>
    </row>
    <row r="53" spans="1:14" ht="22" customHeight="1" x14ac:dyDescent="0.35">
      <c r="A53" s="1"/>
      <c r="B53" s="1"/>
      <c r="C53" s="1"/>
      <c r="D53" s="1"/>
      <c r="E53" s="1"/>
      <c r="F53" s="1"/>
      <c r="G53" s="1"/>
      <c r="H53" s="1"/>
      <c r="I53" s="1"/>
      <c r="J53" s="1"/>
      <c r="K53" s="1"/>
      <c r="L53" s="1"/>
      <c r="M53" s="1"/>
      <c r="N53" s="1"/>
    </row>
    <row r="54" spans="1:14" ht="22" customHeight="1" x14ac:dyDescent="0.35">
      <c r="A54" s="1"/>
      <c r="B54" s="1"/>
      <c r="C54" s="1"/>
      <c r="D54" s="1"/>
      <c r="E54" s="1"/>
      <c r="F54" s="1"/>
      <c r="G54" s="1"/>
      <c r="H54" s="1"/>
      <c r="I54" s="1"/>
      <c r="J54" s="1"/>
      <c r="K54" s="1"/>
      <c r="L54" s="1"/>
      <c r="M54" s="1"/>
      <c r="N54" s="1"/>
    </row>
    <row r="55" spans="1:14" ht="22" customHeight="1" x14ac:dyDescent="0.35">
      <c r="A55" s="1"/>
      <c r="B55" s="1"/>
      <c r="C55" s="1"/>
      <c r="D55" s="1"/>
      <c r="E55" s="1"/>
      <c r="F55" s="1"/>
      <c r="G55" s="1"/>
      <c r="H55" s="1"/>
      <c r="I55" s="1"/>
      <c r="J55" s="1"/>
      <c r="K55" s="1"/>
      <c r="L55" s="1"/>
      <c r="M55" s="1"/>
      <c r="N55" s="1"/>
    </row>
    <row r="56" spans="1:14" ht="22" customHeight="1" x14ac:dyDescent="0.35">
      <c r="A56" s="1"/>
      <c r="B56" s="1"/>
      <c r="C56" s="1"/>
      <c r="D56" s="1"/>
      <c r="E56" s="1"/>
      <c r="F56" s="1"/>
      <c r="G56" s="1"/>
      <c r="H56" s="1"/>
      <c r="I56" s="1"/>
      <c r="J56" s="1"/>
      <c r="K56" s="1"/>
      <c r="L56" s="1"/>
      <c r="M56" s="1"/>
      <c r="N56" s="1"/>
    </row>
    <row r="57" spans="1:14" ht="22" customHeight="1" x14ac:dyDescent="0.35">
      <c r="A57" s="1"/>
      <c r="B57" s="1"/>
      <c r="C57" s="1"/>
      <c r="D57" s="1"/>
      <c r="E57" s="1"/>
      <c r="F57" s="1"/>
      <c r="G57" s="1"/>
      <c r="H57" s="1"/>
      <c r="I57" s="1"/>
      <c r="J57" s="1"/>
      <c r="K57" s="1"/>
      <c r="L57" s="1"/>
      <c r="M57" s="1"/>
      <c r="N57" s="1"/>
    </row>
    <row r="58" spans="1:14" ht="22" customHeight="1" x14ac:dyDescent="0.35">
      <c r="A58" s="1"/>
      <c r="B58" s="1"/>
      <c r="C58" s="1"/>
      <c r="D58" s="1"/>
      <c r="E58" s="1"/>
      <c r="F58" s="1"/>
      <c r="G58" s="1"/>
      <c r="H58" s="1"/>
      <c r="I58" s="1"/>
      <c r="J58" s="1"/>
      <c r="K58" s="1"/>
      <c r="L58" s="1"/>
      <c r="M58" s="1"/>
      <c r="N58" s="1"/>
    </row>
    <row r="59" spans="1:14" ht="22" customHeight="1" x14ac:dyDescent="0.35">
      <c r="A59" s="1"/>
      <c r="B59" s="1"/>
      <c r="C59" s="1"/>
      <c r="D59" s="1"/>
      <c r="E59" s="1"/>
      <c r="F59" s="1"/>
      <c r="G59" s="1"/>
      <c r="H59" s="1"/>
      <c r="I59" s="1"/>
      <c r="J59" s="1"/>
      <c r="K59" s="1"/>
      <c r="L59" s="1"/>
      <c r="M59" s="1"/>
      <c r="N59" s="1"/>
    </row>
    <row r="60" spans="1:14" ht="22" customHeight="1" x14ac:dyDescent="0.35">
      <c r="A60" s="1"/>
      <c r="B60" s="1"/>
      <c r="C60" s="1"/>
      <c r="D60" s="1"/>
      <c r="E60" s="1"/>
      <c r="F60" s="1"/>
      <c r="G60" s="1"/>
      <c r="H60" s="1"/>
      <c r="I60" s="1"/>
      <c r="J60" s="1"/>
      <c r="K60" s="1"/>
      <c r="L60" s="1"/>
      <c r="M60" s="1"/>
      <c r="N60" s="1"/>
    </row>
    <row r="61" spans="1:14" ht="22" customHeight="1" x14ac:dyDescent="0.35">
      <c r="A61" s="1"/>
      <c r="B61" s="1"/>
      <c r="C61" s="1"/>
      <c r="D61" s="1"/>
      <c r="E61" s="1"/>
      <c r="F61" s="1"/>
      <c r="G61" s="1"/>
      <c r="H61" s="1"/>
      <c r="I61" s="1"/>
      <c r="J61" s="1"/>
      <c r="K61" s="1"/>
      <c r="L61" s="1"/>
      <c r="M61" s="1"/>
      <c r="N61" s="1"/>
    </row>
    <row r="62" spans="1:14" ht="22" customHeight="1" x14ac:dyDescent="0.35">
      <c r="A62" s="1"/>
      <c r="B62" s="1"/>
      <c r="C62" s="1"/>
      <c r="D62" s="1"/>
      <c r="E62" s="1"/>
      <c r="F62" s="1"/>
      <c r="G62" s="1"/>
      <c r="H62" s="1"/>
      <c r="I62" s="1"/>
      <c r="J62" s="1"/>
      <c r="K62" s="1"/>
      <c r="L62" s="1"/>
      <c r="M62" s="1"/>
      <c r="N62" s="1"/>
    </row>
    <row r="63" spans="1:14" ht="22" customHeight="1" x14ac:dyDescent="0.35">
      <c r="A63" s="1"/>
      <c r="B63" s="1"/>
      <c r="C63" s="1"/>
      <c r="D63" s="1"/>
      <c r="E63" s="1"/>
      <c r="F63" s="1"/>
      <c r="G63" s="1"/>
      <c r="H63" s="1"/>
      <c r="I63" s="1"/>
      <c r="J63" s="1"/>
      <c r="K63" s="1"/>
      <c r="L63" s="1"/>
      <c r="M63" s="1"/>
      <c r="N63" s="1"/>
    </row>
    <row r="64" spans="1:14" ht="22" customHeight="1" x14ac:dyDescent="0.35">
      <c r="A64" s="1"/>
      <c r="B64" s="1"/>
      <c r="C64" s="1"/>
      <c r="D64" s="1"/>
      <c r="E64" s="1"/>
      <c r="F64" s="1"/>
      <c r="G64" s="1"/>
      <c r="H64" s="1"/>
      <c r="I64" s="1"/>
      <c r="J64" s="1"/>
      <c r="K64" s="1"/>
      <c r="L64" s="1"/>
      <c r="M64" s="1"/>
      <c r="N64" s="1"/>
    </row>
    <row r="65" spans="1:14" ht="22" customHeight="1" x14ac:dyDescent="0.35">
      <c r="A65" s="1"/>
      <c r="B65" s="1"/>
      <c r="C65" s="1"/>
      <c r="D65" s="1"/>
      <c r="E65" s="1"/>
      <c r="F65" s="1"/>
      <c r="G65" s="1"/>
      <c r="H65" s="1"/>
      <c r="I65" s="1"/>
      <c r="J65" s="1"/>
      <c r="K65" s="1"/>
      <c r="L65" s="1"/>
      <c r="M65" s="1"/>
      <c r="N6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1A1E-9614-4667-B9FD-5B94380D5345}">
  <dimension ref="A1:M50"/>
  <sheetViews>
    <sheetView showGridLines="0" zoomScale="85" zoomScaleNormal="85" workbookViewId="0"/>
  </sheetViews>
  <sheetFormatPr defaultRowHeight="14.5" x14ac:dyDescent="0.35"/>
  <cols>
    <col min="1" max="1" width="18.1796875" bestFit="1" customWidth="1"/>
    <col min="2" max="2" width="14.453125" bestFit="1" customWidth="1"/>
    <col min="3" max="3" width="13.54296875" bestFit="1" customWidth="1"/>
    <col min="11" max="11" width="18.1796875" bestFit="1" customWidth="1"/>
    <col min="12" max="12" width="14.453125" bestFit="1" customWidth="1"/>
    <col min="13" max="13" width="13.54296875" bestFit="1" customWidth="1"/>
  </cols>
  <sheetData>
    <row r="1" spans="1:13" x14ac:dyDescent="0.35">
      <c r="A1" s="18" t="s">
        <v>8</v>
      </c>
      <c r="B1" t="s">
        <v>526</v>
      </c>
      <c r="C1" t="s">
        <v>527</v>
      </c>
      <c r="K1" s="18" t="s">
        <v>8</v>
      </c>
      <c r="L1" t="s">
        <v>526</v>
      </c>
      <c r="M1" t="s">
        <v>527</v>
      </c>
    </row>
    <row r="2" spans="1:13" x14ac:dyDescent="0.35">
      <c r="A2" t="s">
        <v>29</v>
      </c>
      <c r="B2">
        <v>33</v>
      </c>
      <c r="C2" s="19">
        <v>23100</v>
      </c>
      <c r="K2" t="s">
        <v>29</v>
      </c>
      <c r="L2" s="31">
        <v>33</v>
      </c>
      <c r="M2" s="19">
        <v>23100</v>
      </c>
    </row>
    <row r="3" spans="1:13" x14ac:dyDescent="0.35">
      <c r="A3" t="s">
        <v>34</v>
      </c>
      <c r="B3">
        <v>33</v>
      </c>
      <c r="C3" s="19">
        <v>9900</v>
      </c>
      <c r="K3" t="s">
        <v>34</v>
      </c>
      <c r="L3" s="31">
        <v>33</v>
      </c>
      <c r="M3" s="19">
        <v>9900</v>
      </c>
    </row>
    <row r="4" spans="1:13" x14ac:dyDescent="0.35">
      <c r="A4" t="s">
        <v>18</v>
      </c>
      <c r="B4">
        <v>34</v>
      </c>
      <c r="C4" s="19">
        <v>15300</v>
      </c>
      <c r="K4" t="s">
        <v>18</v>
      </c>
      <c r="L4" s="31">
        <v>34</v>
      </c>
      <c r="M4" s="19">
        <v>15300</v>
      </c>
    </row>
    <row r="5" spans="1:13" x14ac:dyDescent="0.35">
      <c r="A5" t="s">
        <v>525</v>
      </c>
      <c r="B5">
        <v>100</v>
      </c>
      <c r="C5" s="19">
        <v>48300</v>
      </c>
      <c r="K5" t="s">
        <v>525</v>
      </c>
      <c r="L5" s="31">
        <v>100</v>
      </c>
      <c r="M5" s="19">
        <v>48300</v>
      </c>
    </row>
    <row r="12" spans="1:13" x14ac:dyDescent="0.35">
      <c r="A12" s="18" t="s">
        <v>7</v>
      </c>
      <c r="B12" t="s">
        <v>526</v>
      </c>
      <c r="C12" t="s">
        <v>527</v>
      </c>
      <c r="K12" s="18" t="s">
        <v>7</v>
      </c>
      <c r="L12" t="s">
        <v>526</v>
      </c>
      <c r="M12" t="s">
        <v>527</v>
      </c>
    </row>
    <row r="13" spans="1:13" x14ac:dyDescent="0.35">
      <c r="A13" t="s">
        <v>24</v>
      </c>
      <c r="B13">
        <v>50</v>
      </c>
      <c r="C13" s="19">
        <v>23950</v>
      </c>
      <c r="K13" t="s">
        <v>24</v>
      </c>
      <c r="L13" s="31">
        <v>50</v>
      </c>
      <c r="M13" s="19">
        <v>23950</v>
      </c>
    </row>
    <row r="14" spans="1:13" x14ac:dyDescent="0.35">
      <c r="A14" t="s">
        <v>17</v>
      </c>
      <c r="B14">
        <v>50</v>
      </c>
      <c r="C14" s="19">
        <v>24350</v>
      </c>
      <c r="K14" t="s">
        <v>17</v>
      </c>
      <c r="L14" s="31">
        <v>50</v>
      </c>
      <c r="M14" s="19">
        <v>24350</v>
      </c>
    </row>
    <row r="15" spans="1:13" x14ac:dyDescent="0.35">
      <c r="A15" t="s">
        <v>525</v>
      </c>
      <c r="B15">
        <v>100</v>
      </c>
      <c r="C15" s="19">
        <v>48300</v>
      </c>
      <c r="K15" t="s">
        <v>525</v>
      </c>
      <c r="L15" s="31">
        <v>100</v>
      </c>
      <c r="M15" s="19">
        <v>48300</v>
      </c>
    </row>
    <row r="24" spans="1:13" x14ac:dyDescent="0.35">
      <c r="A24" s="18" t="s">
        <v>12</v>
      </c>
      <c r="B24" t="s">
        <v>526</v>
      </c>
      <c r="C24" t="s">
        <v>527</v>
      </c>
      <c r="K24" s="18" t="s">
        <v>12</v>
      </c>
      <c r="L24" t="s">
        <v>526</v>
      </c>
      <c r="M24" t="s">
        <v>527</v>
      </c>
    </row>
    <row r="25" spans="1:13" x14ac:dyDescent="0.35">
      <c r="A25" s="20">
        <v>44866</v>
      </c>
      <c r="B25">
        <v>1</v>
      </c>
      <c r="C25" s="19">
        <v>450</v>
      </c>
      <c r="K25" s="20">
        <v>44866</v>
      </c>
      <c r="L25" s="31">
        <v>1</v>
      </c>
      <c r="M25" s="19">
        <v>450</v>
      </c>
    </row>
    <row r="26" spans="1:13" x14ac:dyDescent="0.35">
      <c r="A26" s="20">
        <v>44896</v>
      </c>
      <c r="B26">
        <v>4</v>
      </c>
      <c r="C26" s="19">
        <v>1900</v>
      </c>
      <c r="K26" s="20">
        <v>44896</v>
      </c>
      <c r="L26" s="31">
        <v>4</v>
      </c>
      <c r="M26" s="19">
        <v>1900</v>
      </c>
    </row>
    <row r="27" spans="1:13" x14ac:dyDescent="0.35">
      <c r="A27" s="20">
        <v>44927</v>
      </c>
      <c r="B27">
        <v>3</v>
      </c>
      <c r="C27" s="19">
        <v>1450</v>
      </c>
      <c r="K27" s="20">
        <v>44927</v>
      </c>
      <c r="L27" s="31">
        <v>3</v>
      </c>
      <c r="M27" s="19">
        <v>1450</v>
      </c>
    </row>
    <row r="28" spans="1:13" x14ac:dyDescent="0.35">
      <c r="A28" s="20">
        <v>44958</v>
      </c>
      <c r="B28">
        <v>8</v>
      </c>
      <c r="C28" s="19">
        <v>3900</v>
      </c>
      <c r="K28" s="20">
        <v>44958</v>
      </c>
      <c r="L28" s="31">
        <v>8</v>
      </c>
      <c r="M28" s="19">
        <v>3900</v>
      </c>
    </row>
    <row r="29" spans="1:13" x14ac:dyDescent="0.35">
      <c r="A29" s="20">
        <v>44986</v>
      </c>
      <c r="B29">
        <v>1</v>
      </c>
      <c r="C29" s="19">
        <v>450</v>
      </c>
      <c r="K29" s="20">
        <v>44986</v>
      </c>
      <c r="L29" s="31">
        <v>1</v>
      </c>
      <c r="M29" s="19">
        <v>450</v>
      </c>
    </row>
    <row r="30" spans="1:13" x14ac:dyDescent="0.35">
      <c r="A30" s="20">
        <v>45017</v>
      </c>
      <c r="B30">
        <v>6</v>
      </c>
      <c r="C30" s="19">
        <v>2900</v>
      </c>
      <c r="K30" s="20">
        <v>45017</v>
      </c>
      <c r="L30" s="31">
        <v>6</v>
      </c>
      <c r="M30" s="19">
        <v>2900</v>
      </c>
    </row>
    <row r="31" spans="1:13" x14ac:dyDescent="0.35">
      <c r="A31" s="20">
        <v>45047</v>
      </c>
      <c r="B31">
        <v>3</v>
      </c>
      <c r="C31" s="19">
        <v>1450</v>
      </c>
      <c r="K31" s="20">
        <v>45047</v>
      </c>
      <c r="L31" s="31">
        <v>3</v>
      </c>
      <c r="M31" s="19">
        <v>1450</v>
      </c>
    </row>
    <row r="32" spans="1:13" x14ac:dyDescent="0.35">
      <c r="A32" s="20">
        <v>45078</v>
      </c>
      <c r="B32">
        <v>2</v>
      </c>
      <c r="C32" s="19">
        <v>1000</v>
      </c>
      <c r="K32" s="20">
        <v>45078</v>
      </c>
      <c r="L32" s="31">
        <v>2</v>
      </c>
      <c r="M32" s="19">
        <v>1000</v>
      </c>
    </row>
    <row r="33" spans="1:13" x14ac:dyDescent="0.35">
      <c r="A33" s="20">
        <v>45108</v>
      </c>
      <c r="B33">
        <v>5</v>
      </c>
      <c r="C33" s="19">
        <v>2600</v>
      </c>
      <c r="K33" s="20">
        <v>45108</v>
      </c>
      <c r="L33" s="31">
        <v>5</v>
      </c>
      <c r="M33" s="19">
        <v>2600</v>
      </c>
    </row>
    <row r="34" spans="1:13" x14ac:dyDescent="0.35">
      <c r="A34" s="20">
        <v>45139</v>
      </c>
      <c r="B34">
        <v>3</v>
      </c>
      <c r="C34" s="19">
        <v>1450</v>
      </c>
      <c r="K34" s="20">
        <v>45139</v>
      </c>
      <c r="L34" s="31">
        <v>3</v>
      </c>
      <c r="M34" s="19">
        <v>1450</v>
      </c>
    </row>
    <row r="35" spans="1:13" x14ac:dyDescent="0.35">
      <c r="A35" s="20">
        <v>45170</v>
      </c>
      <c r="B35">
        <v>3</v>
      </c>
      <c r="C35" s="19">
        <v>1450</v>
      </c>
      <c r="K35" s="20">
        <v>45170</v>
      </c>
      <c r="L35" s="31">
        <v>3</v>
      </c>
      <c r="M35" s="19">
        <v>1450</v>
      </c>
    </row>
    <row r="36" spans="1:13" x14ac:dyDescent="0.35">
      <c r="A36" s="20">
        <v>45200</v>
      </c>
      <c r="B36">
        <v>4</v>
      </c>
      <c r="C36" s="19">
        <v>1750</v>
      </c>
      <c r="K36" s="20">
        <v>45200</v>
      </c>
      <c r="L36" s="31">
        <v>4</v>
      </c>
      <c r="M36" s="19">
        <v>1750</v>
      </c>
    </row>
    <row r="37" spans="1:13" x14ac:dyDescent="0.35">
      <c r="A37" s="20">
        <v>45231</v>
      </c>
      <c r="B37">
        <v>2</v>
      </c>
      <c r="C37" s="19">
        <v>1150</v>
      </c>
      <c r="K37" s="20">
        <v>45231</v>
      </c>
      <c r="L37" s="31">
        <v>2</v>
      </c>
      <c r="M37" s="19">
        <v>1150</v>
      </c>
    </row>
    <row r="38" spans="1:13" x14ac:dyDescent="0.35">
      <c r="A38" s="20">
        <v>45261</v>
      </c>
      <c r="B38">
        <v>2</v>
      </c>
      <c r="C38" s="19">
        <v>750</v>
      </c>
      <c r="K38" s="20">
        <v>45261</v>
      </c>
      <c r="L38" s="31">
        <v>2</v>
      </c>
      <c r="M38" s="19">
        <v>750</v>
      </c>
    </row>
    <row r="39" spans="1:13" x14ac:dyDescent="0.35">
      <c r="A39" s="20">
        <v>45292</v>
      </c>
      <c r="B39">
        <v>7</v>
      </c>
      <c r="C39" s="19">
        <v>3600</v>
      </c>
      <c r="K39" s="20">
        <v>45292</v>
      </c>
      <c r="L39" s="31">
        <v>7</v>
      </c>
      <c r="M39" s="19">
        <v>3600</v>
      </c>
    </row>
    <row r="40" spans="1:13" x14ac:dyDescent="0.35">
      <c r="A40" s="20">
        <v>45323</v>
      </c>
      <c r="B40">
        <v>9</v>
      </c>
      <c r="C40" s="19">
        <v>4350</v>
      </c>
      <c r="K40" s="20">
        <v>45323</v>
      </c>
      <c r="L40" s="31">
        <v>9</v>
      </c>
      <c r="M40" s="19">
        <v>4350</v>
      </c>
    </row>
    <row r="41" spans="1:13" x14ac:dyDescent="0.35">
      <c r="A41" s="20">
        <v>45352</v>
      </c>
      <c r="B41">
        <v>5</v>
      </c>
      <c r="C41" s="19">
        <v>2200</v>
      </c>
      <c r="K41" s="20">
        <v>45352</v>
      </c>
      <c r="L41" s="31">
        <v>5</v>
      </c>
      <c r="M41" s="19">
        <v>2200</v>
      </c>
    </row>
    <row r="42" spans="1:13" x14ac:dyDescent="0.35">
      <c r="A42" s="20">
        <v>45383</v>
      </c>
      <c r="B42">
        <v>3</v>
      </c>
      <c r="C42" s="19">
        <v>1450</v>
      </c>
      <c r="K42" s="20">
        <v>45383</v>
      </c>
      <c r="L42" s="31">
        <v>3</v>
      </c>
      <c r="M42" s="19">
        <v>1450</v>
      </c>
    </row>
    <row r="43" spans="1:13" x14ac:dyDescent="0.35">
      <c r="A43" s="20">
        <v>45413</v>
      </c>
      <c r="B43">
        <v>3</v>
      </c>
      <c r="C43" s="19">
        <v>1450</v>
      </c>
      <c r="K43" s="20">
        <v>45413</v>
      </c>
      <c r="L43" s="31">
        <v>3</v>
      </c>
      <c r="M43" s="19">
        <v>1450</v>
      </c>
    </row>
    <row r="44" spans="1:13" x14ac:dyDescent="0.35">
      <c r="A44" s="20">
        <v>45444</v>
      </c>
      <c r="B44">
        <v>6</v>
      </c>
      <c r="C44" s="19">
        <v>2900</v>
      </c>
      <c r="K44" s="20">
        <v>45444</v>
      </c>
      <c r="L44" s="31">
        <v>6</v>
      </c>
      <c r="M44" s="19">
        <v>2900</v>
      </c>
    </row>
    <row r="45" spans="1:13" x14ac:dyDescent="0.35">
      <c r="A45" s="20">
        <v>45474</v>
      </c>
      <c r="B45">
        <v>3</v>
      </c>
      <c r="C45" s="19">
        <v>1450</v>
      </c>
      <c r="K45" s="20">
        <v>45474</v>
      </c>
      <c r="L45" s="31">
        <v>3</v>
      </c>
      <c r="M45" s="19">
        <v>1450</v>
      </c>
    </row>
    <row r="46" spans="1:13" x14ac:dyDescent="0.35">
      <c r="A46" s="20">
        <v>45505</v>
      </c>
      <c r="B46">
        <v>7</v>
      </c>
      <c r="C46" s="19">
        <v>3600</v>
      </c>
      <c r="K46" s="20">
        <v>45505</v>
      </c>
      <c r="L46" s="31">
        <v>7</v>
      </c>
      <c r="M46" s="19">
        <v>3600</v>
      </c>
    </row>
    <row r="47" spans="1:13" x14ac:dyDescent="0.35">
      <c r="A47" s="20">
        <v>45536</v>
      </c>
      <c r="B47">
        <v>2</v>
      </c>
      <c r="C47" s="19">
        <v>750</v>
      </c>
      <c r="K47" s="20">
        <v>45536</v>
      </c>
      <c r="L47" s="31">
        <v>2</v>
      </c>
      <c r="M47" s="19">
        <v>750</v>
      </c>
    </row>
    <row r="48" spans="1:13" x14ac:dyDescent="0.35">
      <c r="A48" s="20">
        <v>45566</v>
      </c>
      <c r="B48">
        <v>6</v>
      </c>
      <c r="C48" s="19">
        <v>2900</v>
      </c>
      <c r="K48" s="20">
        <v>45566</v>
      </c>
      <c r="L48" s="31">
        <v>6</v>
      </c>
      <c r="M48" s="19">
        <v>2900</v>
      </c>
    </row>
    <row r="49" spans="1:13" x14ac:dyDescent="0.35">
      <c r="A49" s="20">
        <v>45597</v>
      </c>
      <c r="B49">
        <v>2</v>
      </c>
      <c r="C49" s="19">
        <v>1000</v>
      </c>
      <c r="K49" s="20">
        <v>45597</v>
      </c>
      <c r="L49" s="31">
        <v>2</v>
      </c>
      <c r="M49" s="19">
        <v>1000</v>
      </c>
    </row>
    <row r="50" spans="1:13" x14ac:dyDescent="0.35">
      <c r="A50" s="20" t="s">
        <v>525</v>
      </c>
      <c r="B50">
        <v>100</v>
      </c>
      <c r="C50" s="19">
        <v>48300</v>
      </c>
      <c r="K50" s="20" t="s">
        <v>525</v>
      </c>
      <c r="L50" s="31">
        <v>100</v>
      </c>
      <c r="M50" s="19">
        <v>48300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Event Dashboard</vt:lpstr>
      <vt:lpstr>Assumptions</vt:lpstr>
      <vt:lpstr>Projections</vt:lpstr>
      <vt:lpstr>Monthly Summary</vt:lpstr>
      <vt:lpstr>Attendee Management</vt:lpstr>
      <vt:lpstr>Database</vt:lpstr>
      <vt:lpstr>Original Data</vt:lpstr>
      <vt:lpstr>ReadMe</vt:lpstr>
      <vt:lpstr>Dashboard Data</vt:lpstr>
      <vt:lpstr>Pivot Support</vt:lpstr>
      <vt:lpstr>Database!Print_Area</vt:lpstr>
      <vt:lpstr>'Event Dashboard'!Print_Area</vt:lpstr>
      <vt:lpstr>'Monthly Summary'!Print_Area</vt:lpstr>
      <vt:lpstr>'Original Data'!Print_Area</vt:lpstr>
      <vt:lpstr>Projections!Print_Area</vt:lpstr>
      <vt:lpstr>ReadMe!Print_Area</vt:lpstr>
      <vt:lpstr>Database!Print_Titles</vt:lpstr>
      <vt:lpstr>'Original 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Alexandru Iordachi</cp:lastModifiedBy>
  <cp:lastPrinted>2026-09-22T18:59:14Z</cp:lastPrinted>
  <dcterms:created xsi:type="dcterms:W3CDTF">2026-09-22T18:44:04Z</dcterms:created>
  <dcterms:modified xsi:type="dcterms:W3CDTF">2026-09-22T19:02:39Z</dcterms:modified>
</cp:coreProperties>
</file>